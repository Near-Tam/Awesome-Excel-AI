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2D86A7CB-42FE-4487-9ED0-0EB0F032F193}" xr6:coauthVersionLast="47" xr6:coauthVersionMax="47" xr10:uidLastSave="{00000000-0000-0000-0000-000000000000}"/>
  <bookViews>
    <workbookView xWindow="0" yWindow="135" windowWidth="11880" windowHeight="10305" xr2:uid="{00000000-000D-0000-FFFF-FFFF00000000}"/>
  </bookViews>
  <sheets>
    <sheet name="Analysis" sheetId="2" r:id="rId1"/>
    <sheet name="Experimental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<sst xmlns="http://schemas.openxmlformats.org/spreadsheetml/2006/main" count="25" uniqueCount="24">
  <si>
    <t>Trial</t>
  </si>
  <si>
    <t>Temperature (C)</t>
  </si>
  <si>
    <t>Output_Run1</t>
  </si>
  <si>
    <t>Output_Run2</t>
  </si>
  <si>
    <t>Output_Run3</t>
  </si>
  <si>
    <t>Mean Output</t>
  </si>
  <si>
    <t>Std Deviation</t>
  </si>
  <si>
    <t>Number of Trials</t>
  </si>
  <si>
    <t>Mean Output_Run1</t>
  </si>
  <si>
    <t>Mean Output_Run2</t>
  </si>
  <si>
    <t>Mean Output_Run3</t>
  </si>
  <si>
    <t>Experimental Data Analysis</t>
  </si>
  <si>
    <t>Temperature vs Output Statistics</t>
  </si>
  <si>
    <t>Overall Statistics:</t>
  </si>
  <si>
    <t>Average Output Across All Temperatures:</t>
  </si>
  <si>
    <t>Overall Standard Deviation:</t>
  </si>
  <si>
    <t>Temperature Range:</t>
  </si>
  <si>
    <t>Number of Temperature Levels:</t>
  </si>
  <si>
    <t xml:space="preserve"> </t>
  </si>
  <si>
    <t>Chart Analysis:</t>
  </si>
  <si>
    <t>The scatter plot shows a strong positive linear relationship between temperature and mean output.</t>
  </si>
  <si>
    <t>As temperature increases from 20°C to 35°C, mean output increases from 1.17 to 2.83.</t>
  </si>
  <si>
    <t>The linear trendline indicates a consistent increase in output with temperature.</t>
  </si>
  <si>
    <t>Standard deviations (shown in column C) are relatively small, indicating good measurement precision.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</si>
</sst>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1" fillId="4" borderId="1" xfId="0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6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/>
              <a:t>Temperature vs Mean Output Relationship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8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1"/>
          </c:errBars>
          <c:yVal>
            <c:numRef>
              <c:f>Analysis!$A$2:$A$17</c:f>
              <c:numCache>
                <c:formatCode>General</c:formatCode>
                <c:ptCount val="1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5-44CA-A6BC-DFC146F721C0}"/>
            </c:ext>
          </c:extLst>
        </c:ser>
        <c:ser>
          <c:idx val="1"/>
          <c:order val="1"/>
          <c:yVal>
            <c:numRef>
              <c:f>Analysis!$B$2:$B$17</c:f>
              <c:numCache>
                <c:formatCode>0.0000</c:formatCode>
                <c:ptCount val="16"/>
                <c:pt idx="0">
                  <c:v>1.1733333333333333</c:v>
                </c:pt>
                <c:pt idx="1">
                  <c:v>1.19</c:v>
                </c:pt>
                <c:pt idx="2">
                  <c:v>1.2450000000000001</c:v>
                </c:pt>
                <c:pt idx="3">
                  <c:v>1.3066666666666669</c:v>
                </c:pt>
                <c:pt idx="4">
                  <c:v>1.3766666666666667</c:v>
                </c:pt>
                <c:pt idx="5">
                  <c:v>1.53</c:v>
                </c:pt>
                <c:pt idx="6">
                  <c:v>1.61</c:v>
                </c:pt>
                <c:pt idx="7">
                  <c:v>1.7</c:v>
                </c:pt>
                <c:pt idx="8">
                  <c:v>1.8099999999999998</c:v>
                </c:pt>
                <c:pt idx="9">
                  <c:v>1.9299999999999997</c:v>
                </c:pt>
                <c:pt idx="10">
                  <c:v>2.0500000000000003</c:v>
                </c:pt>
                <c:pt idx="11">
                  <c:v>2.1799999999999997</c:v>
                </c:pt>
                <c:pt idx="12">
                  <c:v>2.33</c:v>
                </c:pt>
                <c:pt idx="13">
                  <c:v>2.4900000000000002</c:v>
                </c:pt>
                <c:pt idx="14">
                  <c:v>2.66</c:v>
                </c:pt>
                <c:pt idx="15">
                  <c:v>2.8333333333333335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5-44CA-A6BC-DFC146F721C0}"/>
            </c:ext>
          </c:extLst>
        </c:ser>
        <c:ser>
          <c:idx val="2"/>
          <c:order val="2"/>
          <c:yVal>
            <c:numRef>
              <c:f>Analysis!$C$2:$C$17</c:f>
              <c:numCache>
                <c:formatCode>0.0000</c:formatCode>
                <c:ptCount val="16"/>
                <c:pt idx="0">
                  <c:v>1.9002923751652318E-2</c:v>
                </c:pt>
                <c:pt idx="1">
                  <c:v>1.8708286933869722E-2</c:v>
                </c:pt>
                <c:pt idx="2">
                  <c:v>1.4142135623730963E-2</c:v>
                </c:pt>
                <c:pt idx="3">
                  <c:v>1.8027756377319962E-2</c:v>
                </c:pt>
                <c:pt idx="4">
                  <c:v>1.8027756377319921E-2</c:v>
                </c:pt>
                <c:pt idx="5">
                  <c:v>2.7131367660166199E-2</c:v>
                </c:pt>
                <c:pt idx="6">
                  <c:v>2.4037008503093198E-2</c:v>
                </c:pt>
                <c:pt idx="7">
                  <c:v>2.3452078799117166E-2</c:v>
                </c:pt>
                <c:pt idx="8">
                  <c:v>2.4037008503093281E-2</c:v>
                </c:pt>
                <c:pt idx="9">
                  <c:v>2.7386127875258331E-2</c:v>
                </c:pt>
                <c:pt idx="10">
                  <c:v>2.7386127875258331E-2</c:v>
                </c:pt>
                <c:pt idx="11">
                  <c:v>2.5385910352879747E-2</c:v>
                </c:pt>
                <c:pt idx="12">
                  <c:v>2.2973414586817079E-2</c:v>
                </c:pt>
                <c:pt idx="13">
                  <c:v>2.7284509239574813E-2</c:v>
                </c:pt>
                <c:pt idx="14">
                  <c:v>2.7386127875258331E-2</c:v>
                </c:pt>
                <c:pt idx="15">
                  <c:v>3.2403703492039276E-2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B5-44CA-A6BC-DFC146F72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078816"/>
        <c:axId val="1337079232"/>
      </c:scatterChart>
      <c:valAx>
        <c:axId val="133707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Temperature (°C)</a:t>
                </a:r>
              </a:p>
            </c:rich>
          </c:tx>
          <c:overlay val="0"/>
        </c:title>
        <c:majorTickMark val="out"/>
        <c:minorTickMark val="none"/>
        <c:tickLblPos val="nextTo"/>
        <c:crossAx val="1337079232"/>
        <c:crosses val="autoZero"/>
        <c:crossBetween val="midCat"/>
      </c:valAx>
      <c:valAx>
        <c:axId val="1337079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Mean Output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70788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19</xdr:row>
      <xdr:rowOff>114300</xdr:rowOff>
    </xdr:from>
    <xdr:to>
      <xdr:col>11</xdr:col>
      <xdr:colOff>317500</xdr:colOff>
      <xdr:row>46</xdr:row>
      <xdr:rowOff>3175</xdr:rowOff>
    </xdr:to>
    <xdr:graphicFrame macro="">
      <xdr:nvGraphicFramePr>
        <xdr:cNvPr id="3" name="Temperature_vs_Output_with_ErrorBars">
          <a:extLst>
            <a:ext uri="{FF2B5EF4-FFF2-40B4-BE49-F238E27FC236}">
              <a16:creationId xmlns:a16="http://schemas.microsoft.com/office/drawing/2014/main" id="{5A934E25-8B82-4076-A8C8-BF7ACD888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C5B7-13EB-4A7D-8A0D-A0504FC3115F}">
  <dimension ref="A1:G32"/>
  <sheetViews>
    <sheetView tabSelected="1" topLeftCell="A25" workbookViewId="0">
      <selection activeCell="A28" sqref="A28:A32"/>
    </sheetView>
  </sheetViews>
  <sheetFormatPr defaultRowHeight="15" x14ac:dyDescent="0.25"/>
  <cols>
    <col min="1" max="1" width="15.7109375" customWidth="1"/>
    <col min="2" max="7" width="12.7109375" customWidth="1"/>
  </cols>
  <sheetData>
    <row r="1" spans="1:7" x14ac:dyDescent="0.25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25">
      <c r="A2" s="3">
        <v>20</v>
      </c>
      <c r="B2" s="4">
        <f>AVERAGEIF(ExperimentalData!$B$2:$B$47,A2,ExperimentalData!$C$2:$C$47)</f>
        <v>1.1733333333333333</v>
      </c>
      <c r="C2" s="4">
        <f>_xlfn.STDEV.S(_xlfn._xlws.FILTER(ExperimentalData!$C$2:$E$47,ExperimentalData!$B$2:$B$47=A2))</f>
        <v>1.9002923751652318E-2</v>
      </c>
      <c r="D2" s="3">
        <f>COUNTIF(ExperimentalData!$B$2:$B$47,A2)</f>
        <v>3</v>
      </c>
      <c r="E2" s="4">
        <f>AVERAGEIF(ExperimentalData!$B$2:$B$47,A2,ExperimentalData!$C$2:$C$47)</f>
        <v>1.1733333333333333</v>
      </c>
      <c r="F2" s="4">
        <f>AVERAGEIF(ExperimentalData!$B$2:$B$47,A2,ExperimentalData!$D$2:$D$47)</f>
        <v>1.21</v>
      </c>
      <c r="G2" s="4">
        <f>AVERAGEIF(ExperimentalData!$B$2:$B$47,A2,ExperimentalData!$E$2:$E$47)</f>
        <v>1.1900000000000002</v>
      </c>
    </row>
    <row r="3" spans="1:7" x14ac:dyDescent="0.25">
      <c r="A3" s="3">
        <v>21</v>
      </c>
      <c r="B3" s="4">
        <f>AVERAGEIF(ExperimentalData!$B$2:$B$47,A3,ExperimentalData!$C$2:$C$47)</f>
        <v>1.19</v>
      </c>
      <c r="C3" s="4">
        <f>_xlfn.STDEV.S(_xlfn._xlws.FILTER(ExperimentalData!$C$2:$E$47,ExperimentalData!$B$2:$B$47=A3))</f>
        <v>1.8708286933869722E-2</v>
      </c>
      <c r="D3" s="3">
        <f>COUNTIF(ExperimentalData!$B$2:$B$47,A3)</f>
        <v>2</v>
      </c>
      <c r="E3" s="4">
        <f>AVERAGEIF(ExperimentalData!$B$2:$B$47,A3,ExperimentalData!$C$2:$C$47)</f>
        <v>1.19</v>
      </c>
      <c r="F3" s="4">
        <f>AVERAGEIF(ExperimentalData!$B$2:$B$47,A3,ExperimentalData!$D$2:$D$47)</f>
        <v>1.2250000000000001</v>
      </c>
      <c r="G3" s="4">
        <f>AVERAGEIF(ExperimentalData!$B$2:$B$47,A3,ExperimentalData!$E$2:$E$47)</f>
        <v>1.2</v>
      </c>
    </row>
    <row r="4" spans="1:7" x14ac:dyDescent="0.25">
      <c r="A4" s="3">
        <v>22</v>
      </c>
      <c r="B4" s="4">
        <f>AVERAGEIF(ExperimentalData!$B$2:$B$47,A4,ExperimentalData!$C$2:$C$47)</f>
        <v>1.2450000000000001</v>
      </c>
      <c r="C4" s="4">
        <f>_xlfn.STDEV.S(_xlfn._xlws.FILTER(ExperimentalData!$C$2:$E$47,ExperimentalData!$B$2:$B$47=A4))</f>
        <v>1.4142135623730963E-2</v>
      </c>
      <c r="D4" s="3">
        <f>COUNTIF(ExperimentalData!$B$2:$B$47,A4)</f>
        <v>2</v>
      </c>
      <c r="E4" s="4">
        <f>AVERAGEIF(ExperimentalData!$B$2:$B$47,A4,ExperimentalData!$C$2:$C$47)</f>
        <v>1.2450000000000001</v>
      </c>
      <c r="F4" s="4">
        <f>AVERAGEIF(ExperimentalData!$B$2:$B$47,A4,ExperimentalData!$D$2:$D$47)</f>
        <v>1.2749999999999999</v>
      </c>
      <c r="G4" s="4">
        <f>AVERAGEIF(ExperimentalData!$B$2:$B$47,A4,ExperimentalData!$E$2:$E$47)</f>
        <v>1.26</v>
      </c>
    </row>
    <row r="5" spans="1:7" x14ac:dyDescent="0.25">
      <c r="A5" s="3">
        <v>23</v>
      </c>
      <c r="B5" s="4">
        <f>AVERAGEIF(ExperimentalData!$B$2:$B$47,A5,ExperimentalData!$C$2:$C$47)</f>
        <v>1.3066666666666669</v>
      </c>
      <c r="C5" s="4">
        <f>_xlfn.STDEV.S(_xlfn._xlws.FILTER(ExperimentalData!$C$2:$E$47,ExperimentalData!$B$2:$B$47=A5))</f>
        <v>1.8027756377319962E-2</v>
      </c>
      <c r="D5" s="3">
        <f>COUNTIF(ExperimentalData!$B$2:$B$47,A5)</f>
        <v>3</v>
      </c>
      <c r="E5" s="4">
        <f>AVERAGEIF(ExperimentalData!$B$2:$B$47,A5,ExperimentalData!$C$2:$C$47)</f>
        <v>1.3066666666666669</v>
      </c>
      <c r="F5" s="4">
        <f>AVERAGEIF(ExperimentalData!$B$2:$B$47,A5,ExperimentalData!$D$2:$D$47)</f>
        <v>1.3466666666666669</v>
      </c>
      <c r="G5" s="4">
        <f>AVERAGEIF(ExperimentalData!$B$2:$B$47,A5,ExperimentalData!$E$2:$E$47)</f>
        <v>1.3266666666666669</v>
      </c>
    </row>
    <row r="6" spans="1:7" x14ac:dyDescent="0.25">
      <c r="A6" s="3">
        <v>24</v>
      </c>
      <c r="B6" s="4">
        <f>AVERAGEIF(ExperimentalData!$B$2:$B$47,A6,ExperimentalData!$C$2:$C$47)</f>
        <v>1.3766666666666667</v>
      </c>
      <c r="C6" s="4">
        <f>_xlfn.STDEV.S(_xlfn._xlws.FILTER(ExperimentalData!$C$2:$E$47,ExperimentalData!$B$2:$B$47=A6))</f>
        <v>1.8027756377319921E-2</v>
      </c>
      <c r="D6" s="3">
        <f>COUNTIF(ExperimentalData!$B$2:$B$47,A6)</f>
        <v>3</v>
      </c>
      <c r="E6" s="4">
        <f>AVERAGEIF(ExperimentalData!$B$2:$B$47,A6,ExperimentalData!$C$2:$C$47)</f>
        <v>1.3766666666666667</v>
      </c>
      <c r="F6" s="4">
        <f>AVERAGEIF(ExperimentalData!$B$2:$B$47,A6,ExperimentalData!$D$2:$D$47)</f>
        <v>1.4166666666666667</v>
      </c>
      <c r="G6" s="4">
        <f>AVERAGEIF(ExperimentalData!$B$2:$B$47,A6,ExperimentalData!$E$2:$E$47)</f>
        <v>1.3966666666666665</v>
      </c>
    </row>
    <row r="7" spans="1:7" x14ac:dyDescent="0.25">
      <c r="A7" s="3">
        <v>25</v>
      </c>
      <c r="B7" s="4">
        <f>AVERAGEIF(ExperimentalData!$B$2:$B$47,A7,ExperimentalData!$C$2:$C$47)</f>
        <v>1.53</v>
      </c>
      <c r="C7" s="4">
        <f>_xlfn.STDEV.S(_xlfn._xlws.FILTER(ExperimentalData!$C$2:$E$47,ExperimentalData!$B$2:$B$47=A7))</f>
        <v>2.7131367660166199E-2</v>
      </c>
      <c r="D7" s="3">
        <f>COUNTIF(ExperimentalData!$B$2:$B$47,A7)</f>
        <v>3</v>
      </c>
      <c r="E7" s="4">
        <f>AVERAGEIF(ExperimentalData!$B$2:$B$47,A7,ExperimentalData!$C$2:$C$47)</f>
        <v>1.53</v>
      </c>
      <c r="F7" s="4">
        <f>AVERAGEIF(ExperimentalData!$B$2:$B$47,A7,ExperimentalData!$D$2:$D$47)</f>
        <v>1.59</v>
      </c>
      <c r="G7" s="4">
        <f>AVERAGEIF(ExperimentalData!$B$2:$B$47,A7,ExperimentalData!$E$2:$E$47)</f>
        <v>1.5566666666666666</v>
      </c>
    </row>
    <row r="8" spans="1:7" x14ac:dyDescent="0.25">
      <c r="A8" s="3">
        <v>26</v>
      </c>
      <c r="B8" s="4">
        <f>AVERAGEIF(ExperimentalData!$B$2:$B$47,A8,ExperimentalData!$C$2:$C$47)</f>
        <v>1.61</v>
      </c>
      <c r="C8" s="4">
        <f>_xlfn.STDEV.S(_xlfn._xlws.FILTER(ExperimentalData!$C$2:$E$47,ExperimentalData!$B$2:$B$47=A8))</f>
        <v>2.4037008503093198E-2</v>
      </c>
      <c r="D8" s="3">
        <f>COUNTIF(ExperimentalData!$B$2:$B$47,A8)</f>
        <v>3</v>
      </c>
      <c r="E8" s="4">
        <f>AVERAGEIF(ExperimentalData!$B$2:$B$47,A8,ExperimentalData!$C$2:$C$47)</f>
        <v>1.61</v>
      </c>
      <c r="F8" s="4">
        <f>AVERAGEIF(ExperimentalData!$B$2:$B$47,A8,ExperimentalData!$D$2:$D$47)</f>
        <v>1.6633333333333333</v>
      </c>
      <c r="G8" s="4">
        <f>AVERAGEIF(ExperimentalData!$B$2:$B$47,A8,ExperimentalData!$E$2:$E$47)</f>
        <v>1.6333333333333331</v>
      </c>
    </row>
    <row r="9" spans="1:7" x14ac:dyDescent="0.25">
      <c r="A9" s="3">
        <v>27</v>
      </c>
      <c r="B9" s="4">
        <f>AVERAGEIF(ExperimentalData!$B$2:$B$47,A9,ExperimentalData!$C$2:$C$47)</f>
        <v>1.7</v>
      </c>
      <c r="C9" s="4">
        <f>_xlfn.STDEV.S(_xlfn._xlws.FILTER(ExperimentalData!$C$2:$E$47,ExperimentalData!$B$2:$B$47=A9))</f>
        <v>2.3452078799117166E-2</v>
      </c>
      <c r="D9" s="3">
        <f>COUNTIF(ExperimentalData!$B$2:$B$47,A9)</f>
        <v>3</v>
      </c>
      <c r="E9" s="4">
        <f>AVERAGEIF(ExperimentalData!$B$2:$B$47,A9,ExperimentalData!$C$2:$C$47)</f>
        <v>1.7</v>
      </c>
      <c r="F9" s="4">
        <f>AVERAGEIF(ExperimentalData!$B$2:$B$47,A9,ExperimentalData!$D$2:$D$47)</f>
        <v>1.75</v>
      </c>
      <c r="G9" s="4">
        <f>AVERAGEIF(ExperimentalData!$B$2:$B$47,A9,ExperimentalData!$E$2:$E$47)</f>
        <v>1.72</v>
      </c>
    </row>
    <row r="10" spans="1:7" x14ac:dyDescent="0.25">
      <c r="A10" s="3">
        <v>28</v>
      </c>
      <c r="B10" s="4">
        <f>AVERAGEIF(ExperimentalData!$B$2:$B$47,A10,ExperimentalData!$C$2:$C$47)</f>
        <v>1.8099999999999998</v>
      </c>
      <c r="C10" s="4">
        <f>_xlfn.STDEV.S(_xlfn._xlws.FILTER(ExperimentalData!$C$2:$E$47,ExperimentalData!$B$2:$B$47=A10))</f>
        <v>2.4037008503093281E-2</v>
      </c>
      <c r="D10" s="3">
        <f>COUNTIF(ExperimentalData!$B$2:$B$47,A10)</f>
        <v>3</v>
      </c>
      <c r="E10" s="4">
        <f>AVERAGEIF(ExperimentalData!$B$2:$B$47,A10,ExperimentalData!$C$2:$C$47)</f>
        <v>1.8099999999999998</v>
      </c>
      <c r="F10" s="4">
        <f>AVERAGEIF(ExperimentalData!$B$2:$B$47,A10,ExperimentalData!$D$2:$D$47)</f>
        <v>1.8633333333333335</v>
      </c>
      <c r="G10" s="4">
        <f>AVERAGEIF(ExperimentalData!$B$2:$B$47,A10,ExperimentalData!$E$2:$E$47)</f>
        <v>1.8333333333333333</v>
      </c>
    </row>
    <row r="11" spans="1:7" x14ac:dyDescent="0.25">
      <c r="A11" s="3">
        <v>29</v>
      </c>
      <c r="B11" s="4">
        <f>AVERAGEIF(ExperimentalData!$B$2:$B$47,A11,ExperimentalData!$C$2:$C$47)</f>
        <v>1.9299999999999997</v>
      </c>
      <c r="C11" s="4">
        <f>_xlfn.STDEV.S(_xlfn._xlws.FILTER(ExperimentalData!$C$2:$E$47,ExperimentalData!$B$2:$B$47=A11))</f>
        <v>2.7386127875258331E-2</v>
      </c>
      <c r="D11" s="3">
        <f>COUNTIF(ExperimentalData!$B$2:$B$47,A11)</f>
        <v>3</v>
      </c>
      <c r="E11" s="4">
        <f>AVERAGEIF(ExperimentalData!$B$2:$B$47,A11,ExperimentalData!$C$2:$C$47)</f>
        <v>1.9299999999999997</v>
      </c>
      <c r="F11" s="4">
        <f>AVERAGEIF(ExperimentalData!$B$2:$B$47,A11,ExperimentalData!$D$2:$D$47)</f>
        <v>1.99</v>
      </c>
      <c r="G11" s="4">
        <f>AVERAGEIF(ExperimentalData!$B$2:$B$47,A11,ExperimentalData!$E$2:$E$47)</f>
        <v>1.96</v>
      </c>
    </row>
    <row r="12" spans="1:7" x14ac:dyDescent="0.25">
      <c r="A12" s="3">
        <v>30</v>
      </c>
      <c r="B12" s="4">
        <f>AVERAGEIF(ExperimentalData!$B$2:$B$47,A12,ExperimentalData!$C$2:$C$47)</f>
        <v>2.0500000000000003</v>
      </c>
      <c r="C12" s="4">
        <f>_xlfn.STDEV.S(_xlfn._xlws.FILTER(ExperimentalData!$C$2:$E$47,ExperimentalData!$B$2:$B$47=A12))</f>
        <v>2.7386127875258331E-2</v>
      </c>
      <c r="D12" s="3">
        <f>COUNTIF(ExperimentalData!$B$2:$B$47,A12)</f>
        <v>3</v>
      </c>
      <c r="E12" s="4">
        <f>AVERAGEIF(ExperimentalData!$B$2:$B$47,A12,ExperimentalData!$C$2:$C$47)</f>
        <v>2.0500000000000003</v>
      </c>
      <c r="F12" s="4">
        <f>AVERAGEIF(ExperimentalData!$B$2:$B$47,A12,ExperimentalData!$D$2:$D$47)</f>
        <v>2.11</v>
      </c>
      <c r="G12" s="4">
        <f>AVERAGEIF(ExperimentalData!$B$2:$B$47,A12,ExperimentalData!$E$2:$E$47)</f>
        <v>2.08</v>
      </c>
    </row>
    <row r="13" spans="1:7" x14ac:dyDescent="0.25">
      <c r="A13" s="3">
        <v>31</v>
      </c>
      <c r="B13" s="4">
        <f>AVERAGEIF(ExperimentalData!$B$2:$B$47,A13,ExperimentalData!$C$2:$C$47)</f>
        <v>2.1799999999999997</v>
      </c>
      <c r="C13" s="4">
        <f>_xlfn.STDEV.S(_xlfn._xlws.FILTER(ExperimentalData!$C$2:$E$47,ExperimentalData!$B$2:$B$47=A13))</f>
        <v>2.5385910352879747E-2</v>
      </c>
      <c r="D13" s="3">
        <f>COUNTIF(ExperimentalData!$B$2:$B$47,A13)</f>
        <v>3</v>
      </c>
      <c r="E13" s="4">
        <f>AVERAGEIF(ExperimentalData!$B$2:$B$47,A13,ExperimentalData!$C$2:$C$47)</f>
        <v>2.1799999999999997</v>
      </c>
      <c r="F13" s="4">
        <f>AVERAGEIF(ExperimentalData!$B$2:$B$47,A13,ExperimentalData!$D$2:$D$47)</f>
        <v>2.2366666666666668</v>
      </c>
      <c r="G13" s="4">
        <f>AVERAGEIF(ExperimentalData!$B$2:$B$47,A13,ExperimentalData!$E$2:$E$47)</f>
        <v>2.2066666666666666</v>
      </c>
    </row>
    <row r="14" spans="1:7" x14ac:dyDescent="0.25">
      <c r="A14" s="3">
        <v>32</v>
      </c>
      <c r="B14" s="4">
        <f>AVERAGEIF(ExperimentalData!$B$2:$B$47,A14,ExperimentalData!$C$2:$C$47)</f>
        <v>2.33</v>
      </c>
      <c r="C14" s="4">
        <f>_xlfn.STDEV.S(_xlfn._xlws.FILTER(ExperimentalData!$C$2:$E$47,ExperimentalData!$B$2:$B$47=A14))</f>
        <v>2.2973414586817079E-2</v>
      </c>
      <c r="D14" s="3">
        <f>COUNTIF(ExperimentalData!$B$2:$B$47,A14)</f>
        <v>3</v>
      </c>
      <c r="E14" s="4">
        <f>AVERAGEIF(ExperimentalData!$B$2:$B$47,A14,ExperimentalData!$C$2:$C$47)</f>
        <v>2.33</v>
      </c>
      <c r="F14" s="4">
        <f>AVERAGEIF(ExperimentalData!$B$2:$B$47,A14,ExperimentalData!$D$2:$D$47)</f>
        <v>2.38</v>
      </c>
      <c r="G14" s="4">
        <f>AVERAGEIF(ExperimentalData!$B$2:$B$47,A14,ExperimentalData!$E$2:$E$47)</f>
        <v>2.3533333333333335</v>
      </c>
    </row>
    <row r="15" spans="1:7" x14ac:dyDescent="0.25">
      <c r="A15" s="3">
        <v>33</v>
      </c>
      <c r="B15" s="4">
        <f>AVERAGEIF(ExperimentalData!$B$2:$B$47,A15,ExperimentalData!$C$2:$C$47)</f>
        <v>2.4900000000000002</v>
      </c>
      <c r="C15" s="4">
        <f>_xlfn.STDEV.S(_xlfn._xlws.FILTER(ExperimentalData!$C$2:$E$47,ExperimentalData!$B$2:$B$47=A15))</f>
        <v>2.7284509239574813E-2</v>
      </c>
      <c r="D15" s="3">
        <f>COUNTIF(ExperimentalData!$B$2:$B$47,A15)</f>
        <v>3</v>
      </c>
      <c r="E15" s="4">
        <f>AVERAGEIF(ExperimentalData!$B$2:$B$47,A15,ExperimentalData!$C$2:$C$47)</f>
        <v>2.4900000000000002</v>
      </c>
      <c r="F15" s="4">
        <f>AVERAGEIF(ExperimentalData!$B$2:$B$47,A15,ExperimentalData!$D$2:$D$47)</f>
        <v>2.5499999999999998</v>
      </c>
      <c r="G15" s="4">
        <f>AVERAGEIF(ExperimentalData!$B$2:$B$47,A15,ExperimentalData!$E$2:$E$47)</f>
        <v>2.5133333333333332</v>
      </c>
    </row>
    <row r="16" spans="1:7" x14ac:dyDescent="0.25">
      <c r="A16" s="3">
        <v>34</v>
      </c>
      <c r="B16" s="4">
        <f>AVERAGEIF(ExperimentalData!$B$2:$B$47,A16,ExperimentalData!$C$2:$C$47)</f>
        <v>2.66</v>
      </c>
      <c r="C16" s="4">
        <f>_xlfn.STDEV.S(_xlfn._xlws.FILTER(ExperimentalData!$C$2:$E$47,ExperimentalData!$B$2:$B$47=A16))</f>
        <v>2.7386127875258331E-2</v>
      </c>
      <c r="D16" s="3">
        <f>COUNTIF(ExperimentalData!$B$2:$B$47,A16)</f>
        <v>3</v>
      </c>
      <c r="E16" s="4">
        <f>AVERAGEIF(ExperimentalData!$B$2:$B$47,A16,ExperimentalData!$C$2:$C$47)</f>
        <v>2.66</v>
      </c>
      <c r="F16" s="4">
        <f>AVERAGEIF(ExperimentalData!$B$2:$B$47,A16,ExperimentalData!$D$2:$D$47)</f>
        <v>2.72</v>
      </c>
      <c r="G16" s="4">
        <f>AVERAGEIF(ExperimentalData!$B$2:$B$47,A16,ExperimentalData!$E$2:$E$47)</f>
        <v>2.69</v>
      </c>
    </row>
    <row r="17" spans="1:7" x14ac:dyDescent="0.25">
      <c r="A17" s="3">
        <v>35</v>
      </c>
      <c r="B17" s="4">
        <f>AVERAGEIF(ExperimentalData!$B$2:$B$47,A17,ExperimentalData!$C$2:$C$47)</f>
        <v>2.8333333333333335</v>
      </c>
      <c r="C17" s="4">
        <f>_xlfn.STDEV.S(_xlfn._xlws.FILTER(ExperimentalData!$C$2:$E$47,ExperimentalData!$B$2:$B$47=A17))</f>
        <v>3.2403703492039276E-2</v>
      </c>
      <c r="D17" s="3">
        <f>COUNTIF(ExperimentalData!$B$2:$B$47,A17)</f>
        <v>3</v>
      </c>
      <c r="E17" s="4">
        <f>AVERAGEIF(ExperimentalData!$B$2:$B$47,A17,ExperimentalData!$C$2:$C$47)</f>
        <v>2.8333333333333335</v>
      </c>
      <c r="F17" s="4">
        <f>AVERAGEIF(ExperimentalData!$B$2:$B$47,A17,ExperimentalData!$D$2:$D$47)</f>
        <v>2.9</v>
      </c>
      <c r="G17" s="4">
        <f>AVERAGEIF(ExperimentalData!$B$2:$B$47,A17,ExperimentalData!$E$2:$E$47)</f>
        <v>2.8666666666666671</v>
      </c>
    </row>
    <row r="19" spans="1:7" ht="21" x14ac:dyDescent="0.35">
      <c r="A19" s="5" t="s">
        <v>11</v>
      </c>
    </row>
    <row r="20" spans="1:7" ht="18.75" x14ac:dyDescent="0.3">
      <c r="A20" s="6" t="s">
        <v>12</v>
      </c>
    </row>
    <row r="22" spans="1:7" x14ac:dyDescent="0.25">
      <c r="A22" s="7" t="s">
        <v>13</v>
      </c>
      <c r="B22" s="8"/>
    </row>
    <row r="23" spans="1:7" x14ac:dyDescent="0.25">
      <c r="A23" s="7" t="s">
        <v>14</v>
      </c>
      <c r="B23" s="9">
        <f>AVERAGE(B2:B17)</f>
        <v>1.8384374999999999</v>
      </c>
    </row>
    <row r="24" spans="1:7" x14ac:dyDescent="0.25">
      <c r="A24" s="7" t="s">
        <v>15</v>
      </c>
      <c r="B24" s="9">
        <f>_xlfn.STDEV.S(B2:B17)</f>
        <v>0.54031248460360293</v>
      </c>
    </row>
    <row r="25" spans="1:7" x14ac:dyDescent="0.25">
      <c r="A25" s="7" t="s">
        <v>16</v>
      </c>
      <c r="B25" s="8" t="str">
        <f>CONCATENATE(MIN(A2:A17),"°C to ",MAX(A2:A17),"°C")</f>
        <v>20°C to 35°C</v>
      </c>
      <c r="E25" t="s">
        <v>18</v>
      </c>
    </row>
    <row r="26" spans="1:7" x14ac:dyDescent="0.25">
      <c r="A26" s="7" t="s">
        <v>17</v>
      </c>
      <c r="B26" s="8">
        <f>COUNT(A2:A17)</f>
        <v>16</v>
      </c>
    </row>
    <row r="28" spans="1:7" ht="15.75" x14ac:dyDescent="0.25">
      <c r="A28" s="10" t="s">
        <v>19</v>
      </c>
    </row>
    <row r="29" spans="1:7" x14ac:dyDescent="0.25">
      <c r="A29" s="11" t="s">
        <v>20</v>
      </c>
    </row>
    <row r="30" spans="1:7" x14ac:dyDescent="0.25">
      <c r="A30" s="11" t="s">
        <v>21</v>
      </c>
    </row>
    <row r="31" spans="1:7" x14ac:dyDescent="0.25">
      <c r="A31" s="11" t="s">
        <v>22</v>
      </c>
    </row>
    <row r="32" spans="1:7" x14ac:dyDescent="0.25">
      <c r="A32" s="11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workbookViewId="0">
      <selection activeCell="G13" sqref="G13"/>
    </sheetView>
  </sheetViews>
  <sheetFormatPr defaultRowHeight="15" x14ac:dyDescent="0.25"/>
  <cols>
    <col min="1" max="5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20</v>
      </c>
      <c r="C2">
        <v>1.17</v>
      </c>
      <c r="D2">
        <v>1.21</v>
      </c>
      <c r="E2">
        <v>1.19</v>
      </c>
    </row>
    <row r="3" spans="1:5" x14ac:dyDescent="0.25">
      <c r="A3">
        <v>2</v>
      </c>
      <c r="B3">
        <v>20</v>
      </c>
      <c r="C3">
        <v>1.1599999999999999</v>
      </c>
      <c r="D3">
        <v>1.2</v>
      </c>
      <c r="E3">
        <v>1.18</v>
      </c>
    </row>
    <row r="4" spans="1:5" x14ac:dyDescent="0.25">
      <c r="A4">
        <v>3</v>
      </c>
      <c r="B4">
        <v>20</v>
      </c>
      <c r="C4">
        <v>1.19</v>
      </c>
      <c r="D4">
        <v>1.22</v>
      </c>
      <c r="E4">
        <v>1.2</v>
      </c>
    </row>
    <row r="5" spans="1:5" x14ac:dyDescent="0.25">
      <c r="A5">
        <v>4</v>
      </c>
      <c r="B5">
        <v>21</v>
      </c>
      <c r="C5">
        <v>1.2</v>
      </c>
      <c r="D5">
        <v>1.23</v>
      </c>
      <c r="E5">
        <v>1.21</v>
      </c>
    </row>
    <row r="6" spans="1:5" x14ac:dyDescent="0.25">
      <c r="A6">
        <v>5</v>
      </c>
      <c r="B6">
        <v>21</v>
      </c>
      <c r="C6">
        <v>1.18</v>
      </c>
      <c r="D6">
        <v>1.22</v>
      </c>
      <c r="E6">
        <v>1.19</v>
      </c>
    </row>
    <row r="7" spans="1:5" x14ac:dyDescent="0.25">
      <c r="A7">
        <v>6</v>
      </c>
      <c r="B7">
        <v>22</v>
      </c>
      <c r="C7">
        <v>1.24</v>
      </c>
      <c r="D7">
        <v>1.28</v>
      </c>
      <c r="E7">
        <v>1.26</v>
      </c>
    </row>
    <row r="8" spans="1:5" x14ac:dyDescent="0.25">
      <c r="A8">
        <v>7</v>
      </c>
      <c r="B8">
        <v>22</v>
      </c>
      <c r="C8">
        <v>1.25</v>
      </c>
      <c r="D8">
        <v>1.27</v>
      </c>
      <c r="E8">
        <v>1.26</v>
      </c>
    </row>
    <row r="9" spans="1:5" x14ac:dyDescent="0.25">
      <c r="A9">
        <v>8</v>
      </c>
      <c r="B9">
        <v>23</v>
      </c>
      <c r="C9">
        <v>1.3</v>
      </c>
      <c r="D9">
        <v>1.34</v>
      </c>
      <c r="E9">
        <v>1.32</v>
      </c>
    </row>
    <row r="10" spans="1:5" x14ac:dyDescent="0.25">
      <c r="A10">
        <v>9</v>
      </c>
      <c r="B10">
        <v>23</v>
      </c>
      <c r="C10">
        <v>1.31</v>
      </c>
      <c r="D10">
        <v>1.35</v>
      </c>
      <c r="E10">
        <v>1.33</v>
      </c>
    </row>
    <row r="11" spans="1:5" x14ac:dyDescent="0.25">
      <c r="A11">
        <v>10</v>
      </c>
      <c r="B11">
        <v>24</v>
      </c>
      <c r="C11">
        <v>1.38</v>
      </c>
      <c r="D11">
        <v>1.41</v>
      </c>
      <c r="E11">
        <v>1.39</v>
      </c>
    </row>
    <row r="12" spans="1:5" x14ac:dyDescent="0.25">
      <c r="A12">
        <v>11</v>
      </c>
      <c r="B12">
        <v>24</v>
      </c>
      <c r="C12">
        <v>1.37</v>
      </c>
      <c r="D12">
        <v>1.42</v>
      </c>
      <c r="E12">
        <v>1.4</v>
      </c>
    </row>
    <row r="13" spans="1:5" x14ac:dyDescent="0.25">
      <c r="A13">
        <v>12</v>
      </c>
      <c r="B13">
        <v>25</v>
      </c>
      <c r="C13">
        <v>1.52</v>
      </c>
      <c r="D13">
        <v>1.58</v>
      </c>
      <c r="E13">
        <v>1.55</v>
      </c>
    </row>
    <row r="14" spans="1:5" x14ac:dyDescent="0.25">
      <c r="A14">
        <v>13</v>
      </c>
      <c r="B14">
        <v>25</v>
      </c>
      <c r="C14">
        <v>1.53</v>
      </c>
      <c r="D14">
        <v>1.6</v>
      </c>
      <c r="E14">
        <v>1.56</v>
      </c>
    </row>
    <row r="15" spans="1:5" x14ac:dyDescent="0.25">
      <c r="A15">
        <v>14</v>
      </c>
      <c r="B15">
        <v>26</v>
      </c>
      <c r="C15">
        <v>1.6</v>
      </c>
      <c r="D15">
        <v>1.66</v>
      </c>
      <c r="E15">
        <v>1.63</v>
      </c>
    </row>
    <row r="16" spans="1:5" x14ac:dyDescent="0.25">
      <c r="A16">
        <v>15</v>
      </c>
      <c r="B16">
        <v>26</v>
      </c>
      <c r="C16">
        <v>1.62</v>
      </c>
      <c r="D16">
        <v>1.67</v>
      </c>
      <c r="E16">
        <v>1.64</v>
      </c>
    </row>
    <row r="17" spans="1:5" x14ac:dyDescent="0.25">
      <c r="A17">
        <v>16</v>
      </c>
      <c r="B17">
        <v>27</v>
      </c>
      <c r="C17">
        <v>1.7</v>
      </c>
      <c r="D17">
        <v>1.75</v>
      </c>
      <c r="E17">
        <v>1.72</v>
      </c>
    </row>
    <row r="18" spans="1:5" x14ac:dyDescent="0.25">
      <c r="A18">
        <v>17</v>
      </c>
      <c r="B18">
        <v>27</v>
      </c>
      <c r="C18">
        <v>1.69</v>
      </c>
      <c r="D18">
        <v>1.74</v>
      </c>
      <c r="E18">
        <v>1.71</v>
      </c>
    </row>
    <row r="19" spans="1:5" x14ac:dyDescent="0.25">
      <c r="A19">
        <v>18</v>
      </c>
      <c r="B19">
        <v>28</v>
      </c>
      <c r="C19">
        <v>1.8</v>
      </c>
      <c r="D19">
        <v>1.86</v>
      </c>
      <c r="E19">
        <v>1.83</v>
      </c>
    </row>
    <row r="20" spans="1:5" x14ac:dyDescent="0.25">
      <c r="A20">
        <v>19</v>
      </c>
      <c r="B20">
        <v>28</v>
      </c>
      <c r="C20">
        <v>1.82</v>
      </c>
      <c r="D20">
        <v>1.87</v>
      </c>
      <c r="E20">
        <v>1.84</v>
      </c>
    </row>
    <row r="21" spans="1:5" x14ac:dyDescent="0.25">
      <c r="A21">
        <v>20</v>
      </c>
      <c r="B21">
        <v>29</v>
      </c>
      <c r="C21">
        <v>1.92</v>
      </c>
      <c r="D21">
        <v>1.98</v>
      </c>
      <c r="E21">
        <v>1.95</v>
      </c>
    </row>
    <row r="22" spans="1:5" x14ac:dyDescent="0.25">
      <c r="A22">
        <v>21</v>
      </c>
      <c r="B22">
        <v>29</v>
      </c>
      <c r="C22">
        <v>1.93</v>
      </c>
      <c r="D22">
        <v>1.99</v>
      </c>
      <c r="E22">
        <v>1.96</v>
      </c>
    </row>
    <row r="23" spans="1:5" x14ac:dyDescent="0.25">
      <c r="A23">
        <v>22</v>
      </c>
      <c r="B23">
        <v>30</v>
      </c>
      <c r="C23">
        <v>2.04</v>
      </c>
      <c r="D23">
        <v>2.1</v>
      </c>
      <c r="E23">
        <v>2.0699999999999998</v>
      </c>
    </row>
    <row r="24" spans="1:5" x14ac:dyDescent="0.25">
      <c r="A24">
        <v>23</v>
      </c>
      <c r="B24">
        <v>30</v>
      </c>
      <c r="C24">
        <v>2.0499999999999998</v>
      </c>
      <c r="D24">
        <v>2.11</v>
      </c>
      <c r="E24">
        <v>2.08</v>
      </c>
    </row>
    <row r="25" spans="1:5" x14ac:dyDescent="0.25">
      <c r="A25">
        <v>24</v>
      </c>
      <c r="B25">
        <v>31</v>
      </c>
      <c r="C25">
        <v>2.1800000000000002</v>
      </c>
      <c r="D25">
        <v>2.23</v>
      </c>
      <c r="E25">
        <v>2.2000000000000002</v>
      </c>
    </row>
    <row r="26" spans="1:5" x14ac:dyDescent="0.25">
      <c r="A26">
        <v>25</v>
      </c>
      <c r="B26">
        <v>31</v>
      </c>
      <c r="C26">
        <v>2.17</v>
      </c>
      <c r="D26">
        <v>2.2400000000000002</v>
      </c>
      <c r="E26">
        <v>2.21</v>
      </c>
    </row>
    <row r="27" spans="1:5" x14ac:dyDescent="0.25">
      <c r="A27">
        <v>26</v>
      </c>
      <c r="B27">
        <v>32</v>
      </c>
      <c r="C27">
        <v>2.3199999999999998</v>
      </c>
      <c r="D27">
        <v>2.38</v>
      </c>
      <c r="E27">
        <v>2.35</v>
      </c>
    </row>
    <row r="28" spans="1:5" x14ac:dyDescent="0.25">
      <c r="A28">
        <v>27</v>
      </c>
      <c r="B28">
        <v>32</v>
      </c>
      <c r="C28">
        <v>2.34</v>
      </c>
      <c r="D28">
        <v>2.39</v>
      </c>
      <c r="E28">
        <v>2.36</v>
      </c>
    </row>
    <row r="29" spans="1:5" x14ac:dyDescent="0.25">
      <c r="A29">
        <v>28</v>
      </c>
      <c r="B29">
        <v>33</v>
      </c>
      <c r="C29">
        <v>2.48</v>
      </c>
      <c r="D29">
        <v>2.5499999999999998</v>
      </c>
      <c r="E29">
        <v>2.5099999999999998</v>
      </c>
    </row>
    <row r="30" spans="1:5" x14ac:dyDescent="0.25">
      <c r="A30">
        <v>29</v>
      </c>
      <c r="B30">
        <v>33</v>
      </c>
      <c r="C30">
        <v>2.5</v>
      </c>
      <c r="D30">
        <v>2.56</v>
      </c>
      <c r="E30">
        <v>2.52</v>
      </c>
    </row>
    <row r="31" spans="1:5" x14ac:dyDescent="0.25">
      <c r="A31">
        <v>30</v>
      </c>
      <c r="B31">
        <v>34</v>
      </c>
      <c r="C31">
        <v>2.65</v>
      </c>
      <c r="D31">
        <v>2.71</v>
      </c>
      <c r="E31">
        <v>2.68</v>
      </c>
    </row>
    <row r="32" spans="1:5" x14ac:dyDescent="0.25">
      <c r="A32">
        <v>31</v>
      </c>
      <c r="B32">
        <v>34</v>
      </c>
      <c r="C32">
        <v>2.66</v>
      </c>
      <c r="D32">
        <v>2.72</v>
      </c>
      <c r="E32">
        <v>2.69</v>
      </c>
    </row>
    <row r="33" spans="1:5" x14ac:dyDescent="0.25">
      <c r="A33">
        <v>32</v>
      </c>
      <c r="B33">
        <v>35</v>
      </c>
      <c r="C33">
        <v>2.82</v>
      </c>
      <c r="D33">
        <v>2.88</v>
      </c>
      <c r="E33">
        <v>2.85</v>
      </c>
    </row>
    <row r="34" spans="1:5" x14ac:dyDescent="0.25">
      <c r="A34">
        <v>33</v>
      </c>
      <c r="B34">
        <v>35</v>
      </c>
      <c r="C34">
        <v>2.83</v>
      </c>
      <c r="D34">
        <v>2.9</v>
      </c>
      <c r="E34">
        <v>2.87</v>
      </c>
    </row>
    <row r="35" spans="1:5" x14ac:dyDescent="0.25">
      <c r="A35">
        <v>34</v>
      </c>
      <c r="B35">
        <v>35</v>
      </c>
      <c r="C35">
        <v>2.85</v>
      </c>
      <c r="D35">
        <v>2.92</v>
      </c>
      <c r="E35">
        <v>2.88</v>
      </c>
    </row>
    <row r="36" spans="1:5" x14ac:dyDescent="0.25">
      <c r="A36">
        <v>35</v>
      </c>
      <c r="B36">
        <v>34</v>
      </c>
      <c r="C36">
        <v>2.67</v>
      </c>
      <c r="D36">
        <v>2.73</v>
      </c>
      <c r="E36">
        <v>2.7</v>
      </c>
    </row>
    <row r="37" spans="1:5" x14ac:dyDescent="0.25">
      <c r="A37">
        <v>36</v>
      </c>
      <c r="B37">
        <v>33</v>
      </c>
      <c r="C37">
        <v>2.4900000000000002</v>
      </c>
      <c r="D37">
        <v>2.54</v>
      </c>
      <c r="E37">
        <v>2.5099999999999998</v>
      </c>
    </row>
    <row r="38" spans="1:5" x14ac:dyDescent="0.25">
      <c r="A38">
        <v>37</v>
      </c>
      <c r="B38">
        <v>32</v>
      </c>
      <c r="C38">
        <v>2.33</v>
      </c>
      <c r="D38">
        <v>2.37</v>
      </c>
      <c r="E38">
        <v>2.35</v>
      </c>
    </row>
    <row r="39" spans="1:5" x14ac:dyDescent="0.25">
      <c r="A39">
        <v>38</v>
      </c>
      <c r="B39">
        <v>31</v>
      </c>
      <c r="C39">
        <v>2.19</v>
      </c>
      <c r="D39">
        <v>2.2400000000000002</v>
      </c>
      <c r="E39">
        <v>2.21</v>
      </c>
    </row>
    <row r="40" spans="1:5" x14ac:dyDescent="0.25">
      <c r="A40">
        <v>39</v>
      </c>
      <c r="B40">
        <v>30</v>
      </c>
      <c r="C40">
        <v>2.06</v>
      </c>
      <c r="D40">
        <v>2.12</v>
      </c>
      <c r="E40">
        <v>2.09</v>
      </c>
    </row>
    <row r="41" spans="1:5" x14ac:dyDescent="0.25">
      <c r="A41">
        <v>40</v>
      </c>
      <c r="B41">
        <v>29</v>
      </c>
      <c r="C41">
        <v>1.94</v>
      </c>
      <c r="D41">
        <v>2</v>
      </c>
      <c r="E41">
        <v>1.97</v>
      </c>
    </row>
    <row r="42" spans="1:5" x14ac:dyDescent="0.25">
      <c r="A42">
        <v>41</v>
      </c>
      <c r="B42">
        <v>28</v>
      </c>
      <c r="C42">
        <v>1.81</v>
      </c>
      <c r="D42">
        <v>1.86</v>
      </c>
      <c r="E42">
        <v>1.83</v>
      </c>
    </row>
    <row r="43" spans="1:5" x14ac:dyDescent="0.25">
      <c r="A43">
        <v>42</v>
      </c>
      <c r="B43">
        <v>27</v>
      </c>
      <c r="C43">
        <v>1.71</v>
      </c>
      <c r="D43">
        <v>1.76</v>
      </c>
      <c r="E43">
        <v>1.73</v>
      </c>
    </row>
    <row r="44" spans="1:5" x14ac:dyDescent="0.25">
      <c r="A44">
        <v>43</v>
      </c>
      <c r="B44">
        <v>26</v>
      </c>
      <c r="C44">
        <v>1.61</v>
      </c>
      <c r="D44">
        <v>1.66</v>
      </c>
      <c r="E44">
        <v>1.63</v>
      </c>
    </row>
    <row r="45" spans="1:5" x14ac:dyDescent="0.25">
      <c r="A45">
        <v>44</v>
      </c>
      <c r="B45">
        <v>25</v>
      </c>
      <c r="C45">
        <v>1.54</v>
      </c>
      <c r="D45">
        <v>1.59</v>
      </c>
      <c r="E45">
        <v>1.56</v>
      </c>
    </row>
    <row r="46" spans="1:5" x14ac:dyDescent="0.25">
      <c r="A46">
        <v>45</v>
      </c>
      <c r="B46">
        <v>24</v>
      </c>
      <c r="C46">
        <v>1.38</v>
      </c>
      <c r="D46">
        <v>1.42</v>
      </c>
      <c r="E46">
        <v>1.4</v>
      </c>
    </row>
    <row r="47" spans="1:5" x14ac:dyDescent="0.25">
      <c r="A47">
        <v>46</v>
      </c>
      <c r="B47">
        <v>23</v>
      </c>
      <c r="C47">
        <v>1.31</v>
      </c>
      <c r="D47">
        <v>1.35</v>
      </c>
      <c r="E47">
        <v>1.33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ExperimentalData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2026-01-18T08:07:52Z</dcterms:created>
  <dcterms:modified xsi:type="dcterms:W3CDTF">2026-01-18T08:20:56Z</dcterms:modified>
</cp:coreProperties>
</file>