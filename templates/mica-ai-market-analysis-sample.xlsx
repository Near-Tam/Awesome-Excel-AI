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data\"/>
    </mc:Choice>
  </mc:AlternateContent>
  <xr:revisionPtr revIDLastSave="0" documentId="13_ncr:1_{45B4E3E4-2DAF-43A7-9113-337079E2CD6B}" xr6:coauthVersionLast="47" xr6:coauthVersionMax="47" xr10:uidLastSave="{00000000-0000-0000-0000-000000000000}"/>
  <bookViews>
    <workbookView xWindow="15" yWindow="60" windowWidth="11760" windowHeight="10455" xr2:uid="{3D109246-4738-428B-93E0-EC339203769F}"/>
  </bookViews>
  <sheets>
    <sheet name="Analysis" sheetId="2" r:id="rId1"/>
    <sheet name="Raw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C3" i="1"/>
  <c r="D3" i="1"/>
  <c r="E3" i="1" s="1"/>
  <c r="F3" i="1"/>
  <c r="G3" i="1"/>
  <c r="H3" i="1"/>
  <c r="I3" i="1" s="1"/>
  <c r="J3" i="1"/>
  <c r="K3" i="1"/>
  <c r="B4" i="1"/>
  <c r="C4" i="1"/>
  <c r="D4" i="1"/>
  <c r="E4" i="1" s="1"/>
  <c r="F4" i="1"/>
  <c r="G4" i="1"/>
  <c r="H4" i="1"/>
  <c r="I4" i="1" s="1"/>
  <c r="J4" i="1"/>
  <c r="K4" i="1"/>
  <c r="B5" i="1"/>
  <c r="C5" i="1"/>
  <c r="D5" i="1"/>
  <c r="E5" i="1" s="1"/>
  <c r="F5" i="1"/>
  <c r="G5" i="1"/>
  <c r="H5" i="1"/>
  <c r="I5" i="1" s="1"/>
  <c r="J5" i="1"/>
  <c r="K5" i="1"/>
  <c r="B6" i="1"/>
  <c r="C6" i="1"/>
  <c r="D6" i="1"/>
  <c r="E6" i="1" s="1"/>
  <c r="F6" i="1"/>
  <c r="G6" i="1"/>
  <c r="H6" i="1"/>
  <c r="I6" i="1" s="1"/>
  <c r="J6" i="1"/>
  <c r="K6" i="1"/>
  <c r="B7" i="1"/>
  <c r="C7" i="1"/>
  <c r="D7" i="1"/>
  <c r="E7" i="1" s="1"/>
  <c r="F7" i="1"/>
  <c r="G7" i="1"/>
  <c r="H7" i="1"/>
  <c r="I7" i="1" s="1"/>
  <c r="J7" i="1"/>
  <c r="K7" i="1"/>
  <c r="B8" i="1"/>
  <c r="C8" i="1"/>
  <c r="D8" i="1"/>
  <c r="E8" i="1" s="1"/>
  <c r="F8" i="1"/>
  <c r="G8" i="1"/>
  <c r="H8" i="1"/>
  <c r="I8" i="1" s="1"/>
  <c r="J8" i="1"/>
  <c r="K8" i="1"/>
  <c r="B9" i="1"/>
  <c r="C9" i="1"/>
  <c r="D9" i="1"/>
  <c r="E9" i="1" s="1"/>
  <c r="F9" i="1"/>
  <c r="G9" i="1"/>
  <c r="H9" i="1"/>
  <c r="I9" i="1" s="1"/>
  <c r="J9" i="1"/>
  <c r="K9" i="1"/>
  <c r="B10" i="1"/>
  <c r="C10" i="1"/>
  <c r="D10" i="1"/>
  <c r="E10" i="1" s="1"/>
  <c r="F10" i="1"/>
  <c r="G10" i="1"/>
  <c r="H10" i="1"/>
  <c r="I10" i="1" s="1"/>
  <c r="J10" i="1"/>
  <c r="K10" i="1"/>
  <c r="B11" i="1"/>
  <c r="C11" i="1"/>
  <c r="D11" i="1"/>
  <c r="E11" i="1" s="1"/>
  <c r="F11" i="1"/>
  <c r="G11" i="1"/>
  <c r="H11" i="1"/>
  <c r="I11" i="1" s="1"/>
  <c r="J11" i="1"/>
  <c r="K11" i="1"/>
  <c r="B12" i="1"/>
  <c r="C12" i="1"/>
  <c r="D12" i="1"/>
  <c r="E12" i="1" s="1"/>
  <c r="F12" i="1"/>
  <c r="G12" i="1"/>
  <c r="H12" i="1"/>
  <c r="I12" i="1" s="1"/>
  <c r="J12" i="1"/>
  <c r="K12" i="1"/>
  <c r="B13" i="1"/>
  <c r="C13" i="1"/>
  <c r="D13" i="1"/>
  <c r="E13" i="1" s="1"/>
  <c r="F13" i="1"/>
  <c r="G13" i="1"/>
  <c r="H13" i="1"/>
  <c r="I13" i="1" s="1"/>
  <c r="J13" i="1"/>
  <c r="K13" i="1"/>
  <c r="B14" i="1"/>
  <c r="C14" i="1"/>
  <c r="D14" i="1"/>
  <c r="E14" i="1" s="1"/>
  <c r="F14" i="1"/>
  <c r="G14" i="1"/>
  <c r="H14" i="1"/>
  <c r="I14" i="1" s="1"/>
  <c r="J14" i="1"/>
  <c r="K14" i="1"/>
  <c r="B15" i="1"/>
  <c r="C15" i="1"/>
  <c r="D15" i="1"/>
  <c r="E15" i="1" s="1"/>
  <c r="F15" i="1"/>
  <c r="G15" i="1"/>
  <c r="H15" i="1"/>
  <c r="I15" i="1" s="1"/>
  <c r="J15" i="1"/>
  <c r="K15" i="1"/>
  <c r="B16" i="1"/>
  <c r="C16" i="1"/>
  <c r="D16" i="1"/>
  <c r="E16" i="1" s="1"/>
  <c r="F16" i="1"/>
  <c r="G16" i="1"/>
  <c r="H16" i="1"/>
  <c r="I16" i="1" s="1"/>
  <c r="J16" i="1"/>
  <c r="K16" i="1"/>
  <c r="B17" i="1"/>
  <c r="C17" i="1"/>
  <c r="D17" i="1"/>
  <c r="E17" i="1" s="1"/>
  <c r="F17" i="1"/>
  <c r="G17" i="1"/>
  <c r="H17" i="1"/>
  <c r="I17" i="1" s="1"/>
  <c r="J17" i="1"/>
  <c r="K17" i="1"/>
  <c r="B18" i="1"/>
  <c r="C18" i="1"/>
  <c r="D18" i="1"/>
  <c r="E18" i="1" s="1"/>
  <c r="F18" i="1"/>
  <c r="G18" i="1"/>
  <c r="H18" i="1"/>
  <c r="I18" i="1" s="1"/>
  <c r="J18" i="1"/>
  <c r="K18" i="1"/>
  <c r="B19" i="1"/>
  <c r="C19" i="1"/>
  <c r="D19" i="1"/>
  <c r="E19" i="1" s="1"/>
  <c r="F19" i="1"/>
  <c r="G19" i="1"/>
  <c r="H19" i="1"/>
  <c r="I19" i="1" s="1"/>
  <c r="J19" i="1"/>
  <c r="K19" i="1"/>
  <c r="B20" i="1"/>
  <c r="C20" i="1"/>
  <c r="D20" i="1"/>
  <c r="E20" i="1" s="1"/>
  <c r="F20" i="1"/>
  <c r="G20" i="1"/>
  <c r="H20" i="1"/>
  <c r="I20" i="1" s="1"/>
  <c r="J20" i="1"/>
  <c r="K20" i="1"/>
  <c r="B21" i="1"/>
  <c r="C21" i="1"/>
  <c r="D21" i="1"/>
  <c r="E21" i="1" s="1"/>
  <c r="F21" i="1"/>
  <c r="G21" i="1"/>
  <c r="H21" i="1"/>
  <c r="I21" i="1" s="1"/>
  <c r="J21" i="1"/>
  <c r="K21" i="1"/>
  <c r="B22" i="1"/>
  <c r="C22" i="1"/>
  <c r="D22" i="1"/>
  <c r="E22" i="1" s="1"/>
  <c r="F22" i="1"/>
  <c r="G22" i="1"/>
  <c r="H22" i="1"/>
  <c r="I22" i="1" s="1"/>
  <c r="J22" i="1"/>
  <c r="K22" i="1"/>
  <c r="B23" i="1"/>
  <c r="C23" i="1"/>
  <c r="D23" i="1"/>
  <c r="E23" i="1" s="1"/>
  <c r="F23" i="1"/>
  <c r="G23" i="1"/>
  <c r="H23" i="1"/>
  <c r="I23" i="1" s="1"/>
  <c r="J23" i="1"/>
  <c r="K23" i="1"/>
  <c r="B24" i="1"/>
  <c r="C24" i="1"/>
  <c r="D24" i="1"/>
  <c r="E24" i="1" s="1"/>
  <c r="F24" i="1"/>
  <c r="G24" i="1"/>
  <c r="H24" i="1"/>
  <c r="I24" i="1" s="1"/>
  <c r="J24" i="1"/>
  <c r="K24" i="1"/>
  <c r="B25" i="1"/>
  <c r="C25" i="1"/>
  <c r="D25" i="1"/>
  <c r="E25" i="1" s="1"/>
  <c r="F25" i="1"/>
  <c r="G25" i="1"/>
  <c r="H25" i="1"/>
  <c r="I25" i="1" s="1"/>
  <c r="J25" i="1"/>
  <c r="K25" i="1"/>
  <c r="B26" i="1"/>
  <c r="C26" i="1"/>
  <c r="D26" i="1"/>
  <c r="E26" i="1" s="1"/>
  <c r="F26" i="1"/>
  <c r="G26" i="1"/>
  <c r="H26" i="1"/>
  <c r="I26" i="1" s="1"/>
  <c r="J26" i="1"/>
  <c r="K26" i="1"/>
  <c r="B27" i="1"/>
  <c r="C27" i="1"/>
  <c r="D27" i="1"/>
  <c r="E27" i="1" s="1"/>
  <c r="F27" i="1"/>
  <c r="G27" i="1"/>
  <c r="H27" i="1"/>
  <c r="I27" i="1" s="1"/>
  <c r="J27" i="1"/>
  <c r="K27" i="1"/>
  <c r="B28" i="1"/>
  <c r="C28" i="1"/>
  <c r="D28" i="1"/>
  <c r="E28" i="1" s="1"/>
  <c r="F28" i="1"/>
  <c r="G28" i="1"/>
  <c r="H28" i="1"/>
  <c r="I28" i="1" s="1"/>
  <c r="J28" i="1"/>
  <c r="K28" i="1"/>
  <c r="B29" i="1"/>
  <c r="C29" i="1"/>
  <c r="D29" i="1"/>
  <c r="E29" i="1" s="1"/>
  <c r="F29" i="1"/>
  <c r="G29" i="1"/>
  <c r="H29" i="1"/>
  <c r="I29" i="1" s="1"/>
  <c r="J29" i="1"/>
  <c r="K29" i="1"/>
  <c r="B30" i="1"/>
  <c r="C30" i="1"/>
  <c r="D30" i="1"/>
  <c r="E30" i="1" s="1"/>
  <c r="F30" i="1"/>
  <c r="G30" i="1"/>
  <c r="H30" i="1"/>
  <c r="I30" i="1" s="1"/>
  <c r="J30" i="1"/>
  <c r="K30" i="1"/>
  <c r="B31" i="1"/>
  <c r="C31" i="1"/>
  <c r="D31" i="1"/>
  <c r="E31" i="1" s="1"/>
  <c r="F31" i="1"/>
  <c r="G31" i="1"/>
  <c r="H31" i="1"/>
  <c r="I31" i="1" s="1"/>
  <c r="J31" i="1"/>
  <c r="K31" i="1"/>
  <c r="B32" i="1"/>
  <c r="C32" i="1"/>
  <c r="D32" i="1"/>
  <c r="E32" i="1" s="1"/>
  <c r="F32" i="1"/>
  <c r="G32" i="1"/>
  <c r="H32" i="1"/>
  <c r="I32" i="1" s="1"/>
  <c r="J32" i="1"/>
  <c r="K32" i="1"/>
  <c r="B33" i="1"/>
  <c r="C33" i="1"/>
  <c r="D33" i="1"/>
  <c r="E33" i="1" s="1"/>
  <c r="F33" i="1"/>
  <c r="G33" i="1"/>
  <c r="H33" i="1"/>
  <c r="I33" i="1" s="1"/>
  <c r="J33" i="1"/>
  <c r="K33" i="1"/>
  <c r="B34" i="1"/>
  <c r="C34" i="1"/>
  <c r="D34" i="1"/>
  <c r="E34" i="1" s="1"/>
  <c r="F34" i="1"/>
  <c r="G34" i="1"/>
  <c r="H34" i="1"/>
  <c r="I34" i="1" s="1"/>
  <c r="J34" i="1"/>
  <c r="K34" i="1"/>
  <c r="B35" i="1"/>
  <c r="C35" i="1"/>
  <c r="D35" i="1"/>
  <c r="E35" i="1" s="1"/>
  <c r="F35" i="1"/>
  <c r="G35" i="1"/>
  <c r="H35" i="1"/>
  <c r="I35" i="1" s="1"/>
  <c r="J35" i="1"/>
  <c r="K35" i="1"/>
  <c r="B36" i="1"/>
  <c r="C36" i="1"/>
  <c r="D36" i="1"/>
  <c r="E36" i="1" s="1"/>
  <c r="F36" i="1"/>
  <c r="G36" i="1"/>
  <c r="H36" i="1"/>
  <c r="I36" i="1" s="1"/>
  <c r="J36" i="1"/>
  <c r="K36" i="1"/>
  <c r="B37" i="1"/>
  <c r="C37" i="1"/>
  <c r="D37" i="1"/>
  <c r="E37" i="1" s="1"/>
  <c r="F37" i="1"/>
  <c r="G37" i="1"/>
  <c r="H37" i="1"/>
  <c r="I37" i="1" s="1"/>
  <c r="J37" i="1"/>
  <c r="K37" i="1"/>
  <c r="B38" i="1"/>
  <c r="C38" i="1"/>
  <c r="D38" i="1"/>
  <c r="E38" i="1" s="1"/>
  <c r="F38" i="1"/>
  <c r="G38" i="1"/>
  <c r="H38" i="1"/>
  <c r="I38" i="1" s="1"/>
  <c r="J38" i="1"/>
  <c r="K38" i="1"/>
  <c r="B39" i="1"/>
  <c r="C39" i="1"/>
  <c r="D39" i="1"/>
  <c r="E39" i="1" s="1"/>
  <c r="F39" i="1"/>
  <c r="G39" i="1"/>
  <c r="H39" i="1"/>
  <c r="I39" i="1" s="1"/>
  <c r="J39" i="1"/>
  <c r="K39" i="1"/>
  <c r="B40" i="1"/>
  <c r="C40" i="1"/>
  <c r="D40" i="1"/>
  <c r="E40" i="1" s="1"/>
  <c r="F40" i="1"/>
  <c r="G40" i="1"/>
  <c r="H40" i="1"/>
  <c r="I40" i="1" s="1"/>
  <c r="J40" i="1"/>
  <c r="K40" i="1"/>
  <c r="B41" i="1"/>
  <c r="C41" i="1"/>
  <c r="D41" i="1"/>
  <c r="E41" i="1" s="1"/>
  <c r="F41" i="1"/>
  <c r="G41" i="1"/>
  <c r="H41" i="1"/>
  <c r="I41" i="1" s="1"/>
  <c r="J41" i="1"/>
  <c r="K41" i="1"/>
  <c r="B42" i="1"/>
  <c r="C42" i="1"/>
  <c r="D42" i="1"/>
  <c r="E42" i="1" s="1"/>
  <c r="F42" i="1"/>
  <c r="G42" i="1"/>
  <c r="H42" i="1"/>
  <c r="I42" i="1" s="1"/>
  <c r="J42" i="1"/>
  <c r="K42" i="1"/>
  <c r="B43" i="1"/>
  <c r="C43" i="1"/>
  <c r="D43" i="1"/>
  <c r="E43" i="1" s="1"/>
  <c r="F43" i="1"/>
  <c r="G43" i="1"/>
  <c r="H43" i="1"/>
  <c r="I43" i="1" s="1"/>
  <c r="J43" i="1"/>
  <c r="K43" i="1"/>
  <c r="B44" i="1"/>
  <c r="C44" i="1"/>
  <c r="D44" i="1"/>
  <c r="E44" i="1" s="1"/>
  <c r="F44" i="1"/>
  <c r="G44" i="1"/>
  <c r="H44" i="1"/>
  <c r="I44" i="1" s="1"/>
  <c r="J44" i="1"/>
  <c r="K44" i="1"/>
  <c r="B45" i="1"/>
  <c r="C45" i="1"/>
  <c r="D45" i="1"/>
  <c r="E45" i="1" s="1"/>
  <c r="F45" i="1"/>
  <c r="G45" i="1"/>
  <c r="H45" i="1"/>
  <c r="I45" i="1" s="1"/>
  <c r="J45" i="1"/>
  <c r="K45" i="1"/>
  <c r="B46" i="1"/>
  <c r="C46" i="1"/>
  <c r="D46" i="1"/>
  <c r="E46" i="1" s="1"/>
  <c r="F46" i="1"/>
  <c r="G46" i="1"/>
  <c r="H46" i="1"/>
  <c r="I46" i="1" s="1"/>
  <c r="J46" i="1"/>
  <c r="K46" i="1"/>
  <c r="B47" i="1"/>
  <c r="C47" i="1"/>
  <c r="D47" i="1"/>
  <c r="E47" i="1" s="1"/>
  <c r="F47" i="1"/>
  <c r="G47" i="1"/>
  <c r="H47" i="1"/>
  <c r="I47" i="1" s="1"/>
  <c r="J47" i="1"/>
  <c r="K47" i="1"/>
  <c r="B48" i="1"/>
  <c r="C48" i="1"/>
  <c r="D48" i="1"/>
  <c r="E48" i="1" s="1"/>
  <c r="F48" i="1"/>
  <c r="G48" i="1"/>
  <c r="H48" i="1"/>
  <c r="I48" i="1" s="1"/>
  <c r="J48" i="1"/>
  <c r="K48" i="1"/>
  <c r="B49" i="1"/>
  <c r="C49" i="1"/>
  <c r="D49" i="1"/>
  <c r="E49" i="1" s="1"/>
  <c r="F49" i="1"/>
  <c r="G49" i="1"/>
  <c r="H49" i="1"/>
  <c r="I49" i="1" s="1"/>
  <c r="J49" i="1"/>
  <c r="K49" i="1"/>
  <c r="B50" i="1"/>
  <c r="C50" i="1"/>
  <c r="D50" i="1"/>
  <c r="E50" i="1" s="1"/>
  <c r="F50" i="1"/>
  <c r="G50" i="1"/>
  <c r="H50" i="1"/>
  <c r="I50" i="1" s="1"/>
  <c r="J50" i="1"/>
  <c r="K50" i="1"/>
  <c r="B51" i="1"/>
  <c r="C51" i="1"/>
  <c r="D51" i="1"/>
  <c r="E51" i="1" s="1"/>
  <c r="F51" i="1"/>
  <c r="G51" i="1"/>
  <c r="H51" i="1"/>
  <c r="I51" i="1" s="1"/>
  <c r="J51" i="1"/>
  <c r="K51" i="1"/>
  <c r="K2" i="1"/>
  <c r="J2" i="1"/>
  <c r="H2" i="1"/>
  <c r="I2" i="1" s="1"/>
  <c r="G2" i="1"/>
  <c r="F2" i="1"/>
  <c r="D2" i="1"/>
  <c r="E2" i="1" s="1"/>
  <c r="C2" i="1"/>
  <c r="B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E27" i="2" l="1"/>
  <c r="E28" i="2"/>
  <c r="E24" i="2"/>
  <c r="E19" i="2"/>
  <c r="E22" i="2"/>
  <c r="E23" i="2"/>
  <c r="E17" i="2"/>
  <c r="E18" i="2"/>
  <c r="E14" i="2"/>
  <c r="E13" i="2"/>
  <c r="E12" i="2"/>
  <c r="E8" i="2"/>
  <c r="E11" i="2"/>
  <c r="E6" i="2"/>
  <c r="E7" i="2"/>
  <c r="E4" i="2"/>
  <c r="E5" i="2"/>
  <c r="B27" i="2"/>
  <c r="B15" i="2"/>
  <c r="B29" i="2"/>
  <c r="B28" i="2"/>
  <c r="B14" i="2"/>
  <c r="B26" i="2"/>
  <c r="B25" i="2"/>
  <c r="B21" i="2"/>
  <c r="B22" i="2"/>
  <c r="B18" i="2"/>
  <c r="B20" i="2"/>
  <c r="B19" i="2"/>
  <c r="B13" i="2"/>
  <c r="B9" i="2"/>
  <c r="B8" i="2"/>
  <c r="B7" i="2"/>
  <c r="B6" i="2"/>
  <c r="B5" i="2"/>
  <c r="B4" i="2"/>
  <c r="B3" i="2"/>
  <c r="E29" i="2" l="1"/>
  <c r="B10" i="2"/>
</calcChain>
</file>

<file path=xl/sharedStrings.xml><?xml version="1.0" encoding="utf-8"?>
<sst xmlns="http://schemas.openxmlformats.org/spreadsheetml/2006/main" count="60" uniqueCount="50">
  <si>
    <t>Date</t>
  </si>
  <si>
    <t>Product</t>
  </si>
  <si>
    <t>Region</t>
  </si>
  <si>
    <t>Sales_Volume</t>
  </si>
  <si>
    <t>Revenue</t>
  </si>
  <si>
    <t>Market_Share</t>
  </si>
  <si>
    <t>Customer_Satisfaction</t>
  </si>
  <si>
    <t>Competitor_Price</t>
  </si>
  <si>
    <t>Our_Price</t>
  </si>
  <si>
    <t>Marketing_Spend</t>
  </si>
  <si>
    <t>Growth_Rate</t>
  </si>
  <si>
    <t>Product A</t>
  </si>
  <si>
    <t>South America</t>
  </si>
  <si>
    <t>Market Analysis Summary</t>
  </si>
  <si>
    <t>Total Revenue</t>
  </si>
  <si>
    <t>Average Revenue</t>
  </si>
  <si>
    <t>Total Sales Volume</t>
  </si>
  <si>
    <t>Average Market Share</t>
  </si>
  <si>
    <t>Average Customer Satisfaction</t>
  </si>
  <si>
    <t>Average Growth Rate</t>
  </si>
  <si>
    <t>Total Marketing Spend</t>
  </si>
  <si>
    <t>ROI (Revenue/Marketing)</t>
  </si>
  <si>
    <t>Product Performance</t>
  </si>
  <si>
    <t>Top Product by Revenue</t>
  </si>
  <si>
    <t>Top Region by Revenue</t>
  </si>
  <si>
    <t>Price Competitiveness</t>
  </si>
  <si>
    <t>Revenue by Product</t>
  </si>
  <si>
    <t>Product B</t>
  </si>
  <si>
    <t>Product C</t>
  </si>
  <si>
    <t>Product D</t>
  </si>
  <si>
    <t>Product E</t>
  </si>
  <si>
    <t>Revenue by Region</t>
  </si>
  <si>
    <t>North America</t>
  </si>
  <si>
    <t>Europe</t>
  </si>
  <si>
    <t>Asia</t>
  </si>
  <si>
    <t>Africa</t>
  </si>
  <si>
    <t>Detailed Statistics</t>
  </si>
  <si>
    <t>Revenue Statistics</t>
  </si>
  <si>
    <t>Total</t>
  </si>
  <si>
    <t>Average</t>
  </si>
  <si>
    <t>Maximum</t>
  </si>
  <si>
    <t>Minimum</t>
  </si>
  <si>
    <t>Standard Deviation</t>
  </si>
  <si>
    <t>Sales Volume Statistics</t>
  </si>
  <si>
    <t>Market Share Statistics</t>
  </si>
  <si>
    <t>Growth Rate Statistics</t>
  </si>
  <si>
    <t>Price Analysis</t>
  </si>
  <si>
    <t>Avg Our Price</t>
  </si>
  <si>
    <t>Avg Competitor Price</t>
  </si>
  <si>
    <t>Price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</si>
</sst>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"/>
    <numFmt numFmtId="167" formatCode="0.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E74B5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4" borderId="1" xfId="0" applyFill="1" applyBorder="1" applyAlignment="1">
      <alignment horizontal="left"/>
    </xf>
    <xf numFmtId="0" fontId="1" fillId="2" borderId="1" xfId="0" applyFont="1" applyFill="1" applyBorder="1"/>
    <xf numFmtId="0" fontId="1" fillId="0" borderId="1" xfId="0" applyFont="1" applyBorder="1"/>
    <xf numFmtId="3" fontId="0" fillId="5" borderId="1" xfId="0" applyNumberFormat="1" applyFill="1" applyBorder="1"/>
    <xf numFmtId="4" fontId="0" fillId="5" borderId="1" xfId="0" applyNumberFormat="1" applyFill="1" applyBorder="1"/>
    <xf numFmtId="2" fontId="0" fillId="5" borderId="1" xfId="0" applyNumberFormat="1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14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right"/>
    </xf>
    <xf numFmtId="166" fontId="0" fillId="4" borderId="1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/>
    </xf>
    <xf numFmtId="3" fontId="0" fillId="5" borderId="1" xfId="0" applyNumberFormat="1" applyFont="1" applyFill="1" applyBorder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/>
    <xf numFmtId="167" fontId="0" fillId="5" borderId="1" xfId="0" applyNumberFormat="1" applyFont="1" applyFill="1" applyBorder="1" applyAlignment="1">
      <alignment horizontal="right"/>
    </xf>
    <xf numFmtId="2" fontId="0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9DA9-1090-44B5-B319-470A9385B335}">
  <dimension ref="A1:E29"/>
  <sheetViews>
    <sheetView tabSelected="1" workbookViewId="0">
      <selection activeCell="D7" sqref="D7"/>
    </sheetView>
  </sheetViews>
  <sheetFormatPr defaultRowHeight="15" x14ac:dyDescent="0.25"/>
  <cols>
    <col min="1" max="1" width="25.7109375" customWidth="1"/>
    <col min="2" max="2" width="15.7109375" customWidth="1"/>
    <col min="3" max="3" width="5.7109375" customWidth="1"/>
    <col min="4" max="4" width="22.7109375" customWidth="1"/>
    <col min="5" max="5" width="15.7109375" customWidth="1"/>
  </cols>
  <sheetData>
    <row r="1" spans="1:5" ht="24.95" customHeight="1" x14ac:dyDescent="0.25">
      <c r="A1" s="15" t="s">
        <v>13</v>
      </c>
      <c r="B1" s="14"/>
      <c r="C1" s="14"/>
      <c r="D1" s="15" t="s">
        <v>36</v>
      </c>
      <c r="E1" s="14"/>
    </row>
    <row r="3" spans="1:5" ht="20.100000000000001" customHeight="1" x14ac:dyDescent="0.25">
      <c r="A3" s="2" t="s">
        <v>14</v>
      </c>
      <c r="B3" s="4">
        <f ca="1">SUM(Raw_Data!E2:E51)</f>
        <v>3938034</v>
      </c>
      <c r="D3" s="19" t="s">
        <v>37</v>
      </c>
      <c r="E3" s="19"/>
    </row>
    <row r="4" spans="1:5" ht="20.100000000000001" customHeight="1" x14ac:dyDescent="0.25">
      <c r="A4" s="2" t="s">
        <v>15</v>
      </c>
      <c r="B4" s="5">
        <f ca="1">AVERAGE(Raw_Data!E2:E51)</f>
        <v>78760.679999999993</v>
      </c>
      <c r="D4" s="3" t="s">
        <v>38</v>
      </c>
      <c r="E4" s="4">
        <f ca="1">SUM(Raw_Data!E2:E51)</f>
        <v>3938034</v>
      </c>
    </row>
    <row r="5" spans="1:5" ht="20.100000000000001" customHeight="1" x14ac:dyDescent="0.25">
      <c r="A5" s="2" t="s">
        <v>16</v>
      </c>
      <c r="B5" s="4">
        <f ca="1">SUM(Raw_Data!D2:D51)</f>
        <v>28740</v>
      </c>
      <c r="D5" s="3" t="s">
        <v>39</v>
      </c>
      <c r="E5" s="4">
        <f ca="1">AVERAGE(Raw_Data!E2:E51)</f>
        <v>78760.679999999993</v>
      </c>
    </row>
    <row r="6" spans="1:5" ht="20.100000000000001" customHeight="1" x14ac:dyDescent="0.25">
      <c r="A6" s="2" t="s">
        <v>17</v>
      </c>
      <c r="B6" s="6">
        <f ca="1">AVERAGE(Raw_Data!F2:F51)</f>
        <v>18.724000000000004</v>
      </c>
      <c r="D6" s="3" t="s">
        <v>40</v>
      </c>
      <c r="E6" s="4">
        <f ca="1">MAX(Raw_Data!E2:E51)</f>
        <v>189486</v>
      </c>
    </row>
    <row r="7" spans="1:5" ht="20.100000000000001" customHeight="1" x14ac:dyDescent="0.25">
      <c r="A7" s="2" t="s">
        <v>18</v>
      </c>
      <c r="B7" s="6">
        <f ca="1">AVERAGE(Raw_Data!G2:G51)</f>
        <v>82.52</v>
      </c>
      <c r="D7" s="3" t="s">
        <v>41</v>
      </c>
      <c r="E7" s="4">
        <f ca="1">MIN(Raw_Data!E2:E51)</f>
        <v>12056</v>
      </c>
    </row>
    <row r="8" spans="1:5" ht="20.100000000000001" customHeight="1" x14ac:dyDescent="0.25">
      <c r="A8" s="2" t="s">
        <v>19</v>
      </c>
      <c r="B8" s="7">
        <f ca="1">AVERAGE(Raw_Data!K2:K51)</f>
        <v>4.26</v>
      </c>
      <c r="D8" s="3" t="s">
        <v>42</v>
      </c>
      <c r="E8" s="4">
        <f ca="1">_xlfn.STDEV.S(Raw_Data!E2:E51)</f>
        <v>42685.755283227591</v>
      </c>
    </row>
    <row r="9" spans="1:5" ht="20.100000000000001" customHeight="1" x14ac:dyDescent="0.25">
      <c r="A9" s="2" t="s">
        <v>20</v>
      </c>
      <c r="B9" s="4">
        <f ca="1">SUM(Raw_Data!J2:J51)</f>
        <v>1306148</v>
      </c>
      <c r="D9" s="3"/>
      <c r="E9" s="4"/>
    </row>
    <row r="10" spans="1:5" ht="20.100000000000001" customHeight="1" x14ac:dyDescent="0.25">
      <c r="A10" s="2" t="s">
        <v>21</v>
      </c>
      <c r="B10" s="8">
        <f ca="1">B3/B9</f>
        <v>3.0149983003457494</v>
      </c>
      <c r="D10" s="19" t="s">
        <v>43</v>
      </c>
      <c r="E10" s="20"/>
    </row>
    <row r="11" spans="1:5" ht="20.100000000000001" customHeight="1" x14ac:dyDescent="0.25">
      <c r="A11" s="2"/>
      <c r="B11" s="4"/>
      <c r="D11" s="2" t="s">
        <v>38</v>
      </c>
      <c r="E11" s="4">
        <f ca="1">SUM(Raw_Data!D2:D51)</f>
        <v>28740</v>
      </c>
    </row>
    <row r="12" spans="1:5" ht="20.100000000000001" customHeight="1" x14ac:dyDescent="0.25">
      <c r="A12" s="2" t="s">
        <v>22</v>
      </c>
      <c r="B12" s="4"/>
      <c r="D12" s="2" t="s">
        <v>39</v>
      </c>
      <c r="E12" s="4">
        <f ca="1">AVERAGE(Raw_Data!D2:D51)</f>
        <v>574.79999999999995</v>
      </c>
    </row>
    <row r="13" spans="1:5" x14ac:dyDescent="0.25">
      <c r="A13" s="2" t="s">
        <v>23</v>
      </c>
      <c r="B13" s="17" t="str">
        <f ca="1">INDEX(Raw_Data!B2:B51,MATCH(MAX(SUMIFS(Raw_Data!E2:E51,Raw_Data!B2:B51,{"Product A","Product B","Product C","Product D","Product E"})),SUMIFS(Raw_Data!E2:E51,Raw_Data!B2:B51,{"Product A","Product B","Product C","Product D","Product E"}),0))</f>
        <v>Product C</v>
      </c>
      <c r="D13" s="2" t="s">
        <v>40</v>
      </c>
      <c r="E13" s="18">
        <f ca="1">MAX(Raw_Data!D2:D51)</f>
        <v>1000</v>
      </c>
    </row>
    <row r="14" spans="1:5" x14ac:dyDescent="0.25">
      <c r="A14" s="2" t="s">
        <v>24</v>
      </c>
      <c r="B14" s="17" t="str">
        <f ca="1">INDEX(Raw_Data!C2:C51,MATCH(MAX(SUMIFS(Raw_Data!E2:E51,Raw_Data!C2:C51,{"North America","Europe","Asia","South America","Africa"})),SUMIFS(Raw_Data!E2:E51,Raw_Data!C2:C51,{"North America","Europe","Asia","South America","Africa"}),0))</f>
        <v>Europe</v>
      </c>
      <c r="D14" s="2" t="s">
        <v>41</v>
      </c>
      <c r="E14" s="18">
        <f ca="1">MIN(Raw_Data!D2:D51)</f>
        <v>137</v>
      </c>
    </row>
    <row r="15" spans="1:5" x14ac:dyDescent="0.25">
      <c r="A15" s="2" t="s">
        <v>25</v>
      </c>
      <c r="B15" s="21">
        <f ca="1">AVERAGE(Raw_Data!I2:I51)/AVERAGE(Raw_Data!H2:H51)</f>
        <v>0.99590772590772547</v>
      </c>
      <c r="D15" s="2"/>
      <c r="E15" s="18"/>
    </row>
    <row r="16" spans="1:5" x14ac:dyDescent="0.25">
      <c r="A16" s="2"/>
      <c r="B16" s="22"/>
      <c r="D16" s="2" t="s">
        <v>44</v>
      </c>
      <c r="E16" s="18"/>
    </row>
    <row r="17" spans="1:5" x14ac:dyDescent="0.25">
      <c r="A17" s="2" t="s">
        <v>26</v>
      </c>
      <c r="B17" s="22"/>
      <c r="D17" s="2" t="s">
        <v>39</v>
      </c>
      <c r="E17" s="18">
        <f ca="1">AVERAGE(Raw_Data!F2:F51)</f>
        <v>18.724000000000004</v>
      </c>
    </row>
    <row r="18" spans="1:5" x14ac:dyDescent="0.25">
      <c r="A18" s="2" t="s">
        <v>11</v>
      </c>
      <c r="B18" s="22">
        <f ca="1">SUMIFS(Raw_Data!E2:E51,Raw_Data!B2:B51,"Product A")</f>
        <v>749177</v>
      </c>
      <c r="D18" s="2" t="s">
        <v>40</v>
      </c>
      <c r="E18" s="18">
        <f ca="1">MAX(Raw_Data!F2:F51)</f>
        <v>33.4</v>
      </c>
    </row>
    <row r="19" spans="1:5" x14ac:dyDescent="0.25">
      <c r="A19" s="2" t="s">
        <v>27</v>
      </c>
      <c r="B19" s="22">
        <f ca="1">SUMIFS(Raw_Data!E2:E51,Raw_Data!B2:B51,"Product B")</f>
        <v>731188</v>
      </c>
      <c r="D19" s="2" t="s">
        <v>41</v>
      </c>
      <c r="E19" s="18">
        <f ca="1">MIN(Raw_Data!F2:F51)</f>
        <v>4.0999999999999996</v>
      </c>
    </row>
    <row r="20" spans="1:5" x14ac:dyDescent="0.25">
      <c r="A20" s="2" t="s">
        <v>28</v>
      </c>
      <c r="B20" s="22">
        <f ca="1">SUMIFS(Raw_Data!E2:E51,Raw_Data!B2:B51,"Product C")</f>
        <v>764711</v>
      </c>
      <c r="D20" s="2"/>
      <c r="E20" s="18"/>
    </row>
    <row r="21" spans="1:5" x14ac:dyDescent="0.25">
      <c r="A21" s="2" t="s">
        <v>29</v>
      </c>
      <c r="B21" s="22">
        <f ca="1">SUMIFS(Raw_Data!E2:E51,Raw_Data!B2:B51,"Product D")</f>
        <v>1089867</v>
      </c>
      <c r="D21" s="2" t="s">
        <v>45</v>
      </c>
      <c r="E21" s="18"/>
    </row>
    <row r="22" spans="1:5" x14ac:dyDescent="0.25">
      <c r="A22" s="2" t="s">
        <v>30</v>
      </c>
      <c r="B22" s="22">
        <f ca="1">SUMIFS(Raw_Data!E2:E51,Raw_Data!B2:B51,"Product E")</f>
        <v>603091</v>
      </c>
      <c r="D22" s="2" t="s">
        <v>39</v>
      </c>
      <c r="E22" s="18">
        <f ca="1">AVERAGE(Raw_Data!K2:K51)</f>
        <v>4.26</v>
      </c>
    </row>
    <row r="23" spans="1:5" x14ac:dyDescent="0.25">
      <c r="A23" s="2"/>
      <c r="B23" s="22"/>
      <c r="D23" s="2" t="s">
        <v>40</v>
      </c>
      <c r="E23" s="18">
        <f ca="1">MAX(Raw_Data!K2:K51)</f>
        <v>14.3</v>
      </c>
    </row>
    <row r="24" spans="1:5" x14ac:dyDescent="0.25">
      <c r="A24" s="2" t="s">
        <v>31</v>
      </c>
      <c r="B24" s="22"/>
      <c r="D24" s="2" t="s">
        <v>41</v>
      </c>
      <c r="E24" s="18">
        <f ca="1">MIN(Raw_Data!K2:K51)</f>
        <v>-6.9</v>
      </c>
    </row>
    <row r="25" spans="1:5" x14ac:dyDescent="0.25">
      <c r="A25" s="2" t="s">
        <v>32</v>
      </c>
      <c r="B25" s="22">
        <f ca="1">SUMIFS(Raw_Data!E2:E51,Raw_Data!C2:C51,"North America")</f>
        <v>222256</v>
      </c>
      <c r="D25" s="2"/>
      <c r="E25" s="18"/>
    </row>
    <row r="26" spans="1:5" x14ac:dyDescent="0.25">
      <c r="A26" s="2" t="s">
        <v>33</v>
      </c>
      <c r="B26" s="22">
        <f ca="1">SUMIFS(Raw_Data!E2:E51,Raw_Data!C2:C51,"Europe")</f>
        <v>716068</v>
      </c>
      <c r="D26" s="2" t="s">
        <v>46</v>
      </c>
      <c r="E26" s="18"/>
    </row>
    <row r="27" spans="1:5" x14ac:dyDescent="0.25">
      <c r="A27" s="2" t="s">
        <v>34</v>
      </c>
      <c r="B27" s="22">
        <f ca="1">SUMIFS(Raw_Data!E2:E51,Raw_Data!C2:C51,"Asia")</f>
        <v>731570</v>
      </c>
      <c r="D27" s="2" t="s">
        <v>47</v>
      </c>
      <c r="E27" s="18">
        <f ca="1">AVERAGE(Raw_Data!I2:I51)</f>
        <v>72.960199999999972</v>
      </c>
    </row>
    <row r="28" spans="1:5" x14ac:dyDescent="0.25">
      <c r="A28" s="2" t="s">
        <v>12</v>
      </c>
      <c r="B28" s="22">
        <f ca="1">SUMIFS(Raw_Data!E2:E51,Raw_Data!C2:C51,"South America")</f>
        <v>1295831</v>
      </c>
      <c r="D28" s="2" t="s">
        <v>48</v>
      </c>
      <c r="E28" s="18">
        <f ca="1">AVERAGE(Raw_Data!H2:H51)</f>
        <v>73.260000000000005</v>
      </c>
    </row>
    <row r="29" spans="1:5" x14ac:dyDescent="0.25">
      <c r="A29" s="2" t="s">
        <v>35</v>
      </c>
      <c r="B29" s="22">
        <f ca="1">SUMIFS(Raw_Data!E2:E51,Raw_Data!C2:C51,"Africa")</f>
        <v>972309</v>
      </c>
      <c r="D29" s="2" t="s">
        <v>49</v>
      </c>
      <c r="E29" s="18">
        <f ca="1">E27-E28</f>
        <v>-0.29980000000003315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38AD-C352-4C14-A7E3-7A8AF7A30416}">
  <dimension ref="A1:K51"/>
  <sheetViews>
    <sheetView topLeftCell="D1" workbookViewId="0">
      <selection activeCell="H11" sqref="H11"/>
    </sheetView>
  </sheetViews>
  <sheetFormatPr defaultRowHeight="15" x14ac:dyDescent="0.25"/>
  <cols>
    <col min="1" max="2" width="12.7109375" customWidth="1"/>
    <col min="3" max="3" width="15.7109375" customWidth="1"/>
    <col min="4" max="4" width="14.7109375" customWidth="1"/>
    <col min="5" max="5" width="12.7109375" customWidth="1"/>
    <col min="6" max="6" width="14.7109375" customWidth="1"/>
    <col min="7" max="7" width="20.7109375" customWidth="1"/>
    <col min="8" max="8" width="16.7109375" customWidth="1"/>
    <col min="9" max="9" width="12.7109375" customWidth="1"/>
    <col min="10" max="10" width="16.7109375" customWidth="1"/>
    <col min="11" max="11" width="12.7109375" customWidth="1"/>
  </cols>
  <sheetData>
    <row r="1" spans="1:11" ht="21.9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 ht="18" customHeight="1" x14ac:dyDescent="0.25">
      <c r="A2" s="9">
        <f>DATE(2024,1,1)</f>
        <v>45292</v>
      </c>
      <c r="B2" s="1" t="str">
        <f ca="1">CHOOSE(RANDBETWEEN(1,5),"Product A","Product B","Product C","Product D","Product E")</f>
        <v>Product B</v>
      </c>
      <c r="C2" s="1" t="str">
        <f ca="1">CHOOSE(RANDBETWEEN(1,5),"North America","Europe","Asia","South America","Africa")</f>
        <v>South America</v>
      </c>
      <c r="D2" s="10">
        <f ca="1">RANDBETWEEN(100,1000)</f>
        <v>380</v>
      </c>
      <c r="E2" s="10">
        <f ca="1">D2*RANDBETWEEN(50,200)</f>
        <v>66500</v>
      </c>
      <c r="F2" s="11">
        <f ca="1">ROUND(RANDBETWEEN(5,35)+RAND()*4-2,1)</f>
        <v>18.899999999999999</v>
      </c>
      <c r="G2" s="12">
        <f ca="1">RANDBETWEEN(70,98)</f>
        <v>76</v>
      </c>
      <c r="H2" s="13">
        <f ca="1">RANDBETWEEN(40,120)</f>
        <v>54</v>
      </c>
      <c r="I2" s="13">
        <f ca="1">ROUND(H2*(0.9+RAND()*0.2),2)</f>
        <v>50.8</v>
      </c>
      <c r="J2" s="10">
        <f ca="1">RANDBETWEEN(5000,50000)</f>
        <v>24042</v>
      </c>
      <c r="K2" s="11">
        <f ca="1">ROUND(RANDBETWEEN(-5,15)+RAND()*4-2,1)</f>
        <v>0.9</v>
      </c>
    </row>
    <row r="3" spans="1:11" ht="18" customHeight="1" x14ac:dyDescent="0.25">
      <c r="A3" s="9">
        <f t="shared" ref="A3:A34" si="0">A2+1</f>
        <v>45293</v>
      </c>
      <c r="B3" s="1" t="str">
        <f t="shared" ref="B3:B51" ca="1" si="1">CHOOSE(RANDBETWEEN(1,5),"Product A","Product B","Product C","Product D","Product E")</f>
        <v>Product A</v>
      </c>
      <c r="C3" s="1" t="str">
        <f t="shared" ref="C3:C51" ca="1" si="2">CHOOSE(RANDBETWEEN(1,5),"North America","Europe","Asia","South America","Africa")</f>
        <v>Europe</v>
      </c>
      <c r="D3" s="10">
        <f t="shared" ref="D3:D51" ca="1" si="3">RANDBETWEEN(100,1000)</f>
        <v>642</v>
      </c>
      <c r="E3" s="10">
        <f t="shared" ref="E3:E51" ca="1" si="4">D3*RANDBETWEEN(50,200)</f>
        <v>109782</v>
      </c>
      <c r="F3" s="11">
        <f t="shared" ref="F3:F51" ca="1" si="5">ROUND(RANDBETWEEN(5,35)+RAND()*4-2,1)</f>
        <v>4.0999999999999996</v>
      </c>
      <c r="G3" s="12">
        <f t="shared" ref="G3:G51" ca="1" si="6">RANDBETWEEN(70,98)</f>
        <v>75</v>
      </c>
      <c r="H3" s="13">
        <f t="shared" ref="H3:H51" ca="1" si="7">RANDBETWEEN(40,120)</f>
        <v>44</v>
      </c>
      <c r="I3" s="13">
        <f t="shared" ref="I3:I51" ca="1" si="8">ROUND(H3*(0.9+RAND()*0.2),2)</f>
        <v>44.25</v>
      </c>
      <c r="J3" s="10">
        <f t="shared" ref="J3:J51" ca="1" si="9">RANDBETWEEN(5000,50000)</f>
        <v>25969</v>
      </c>
      <c r="K3" s="11">
        <f t="shared" ref="K3:K51" ca="1" si="10">ROUND(RANDBETWEEN(-5,15)+RAND()*4-2,1)</f>
        <v>-3.8</v>
      </c>
    </row>
    <row r="4" spans="1:11" ht="18" customHeight="1" x14ac:dyDescent="0.25">
      <c r="A4" s="9">
        <f t="shared" si="0"/>
        <v>45294</v>
      </c>
      <c r="B4" s="1" t="str">
        <f t="shared" ca="1" si="1"/>
        <v>Product E</v>
      </c>
      <c r="C4" s="1" t="str">
        <f t="shared" ca="1" si="2"/>
        <v>Africa</v>
      </c>
      <c r="D4" s="10">
        <f t="shared" ca="1" si="3"/>
        <v>732</v>
      </c>
      <c r="E4" s="10">
        <f t="shared" ca="1" si="4"/>
        <v>65148</v>
      </c>
      <c r="F4" s="11">
        <f t="shared" ca="1" si="5"/>
        <v>21.1</v>
      </c>
      <c r="G4" s="12">
        <f t="shared" ca="1" si="6"/>
        <v>75</v>
      </c>
      <c r="H4" s="13">
        <f t="shared" ca="1" si="7"/>
        <v>102</v>
      </c>
      <c r="I4" s="13">
        <f t="shared" ca="1" si="8"/>
        <v>94.7</v>
      </c>
      <c r="J4" s="10">
        <f t="shared" ca="1" si="9"/>
        <v>8237</v>
      </c>
      <c r="K4" s="11">
        <f t="shared" ca="1" si="10"/>
        <v>3.3</v>
      </c>
    </row>
    <row r="5" spans="1:11" ht="18" customHeight="1" x14ac:dyDescent="0.25">
      <c r="A5" s="9">
        <f t="shared" si="0"/>
        <v>45295</v>
      </c>
      <c r="B5" s="1" t="str">
        <f t="shared" ca="1" si="1"/>
        <v>Product C</v>
      </c>
      <c r="C5" s="1" t="str">
        <f t="shared" ca="1" si="2"/>
        <v>Europe</v>
      </c>
      <c r="D5" s="10">
        <f t="shared" ca="1" si="3"/>
        <v>885</v>
      </c>
      <c r="E5" s="10">
        <f t="shared" ca="1" si="4"/>
        <v>53100</v>
      </c>
      <c r="F5" s="11">
        <f t="shared" ca="1" si="5"/>
        <v>21.2</v>
      </c>
      <c r="G5" s="12">
        <f t="shared" ca="1" si="6"/>
        <v>92</v>
      </c>
      <c r="H5" s="13">
        <f t="shared" ca="1" si="7"/>
        <v>48</v>
      </c>
      <c r="I5" s="13">
        <f t="shared" ca="1" si="8"/>
        <v>50.31</v>
      </c>
      <c r="J5" s="10">
        <f t="shared" ca="1" si="9"/>
        <v>38044</v>
      </c>
      <c r="K5" s="11">
        <f t="shared" ca="1" si="10"/>
        <v>12.6</v>
      </c>
    </row>
    <row r="6" spans="1:11" ht="18" customHeight="1" x14ac:dyDescent="0.25">
      <c r="A6" s="9">
        <f t="shared" si="0"/>
        <v>45296</v>
      </c>
      <c r="B6" s="1" t="str">
        <f t="shared" ca="1" si="1"/>
        <v>Product D</v>
      </c>
      <c r="C6" s="1" t="str">
        <f t="shared" ca="1" si="2"/>
        <v>Europe</v>
      </c>
      <c r="D6" s="10">
        <f t="shared" ca="1" si="3"/>
        <v>477</v>
      </c>
      <c r="E6" s="10">
        <f t="shared" ca="1" si="4"/>
        <v>91107</v>
      </c>
      <c r="F6" s="11">
        <f t="shared" ca="1" si="5"/>
        <v>7.2</v>
      </c>
      <c r="G6" s="12">
        <f t="shared" ca="1" si="6"/>
        <v>83</v>
      </c>
      <c r="H6" s="13">
        <f t="shared" ca="1" si="7"/>
        <v>60</v>
      </c>
      <c r="I6" s="13">
        <f t="shared" ca="1" si="8"/>
        <v>60.48</v>
      </c>
      <c r="J6" s="10">
        <f t="shared" ca="1" si="9"/>
        <v>45815</v>
      </c>
      <c r="K6" s="11">
        <f t="shared" ca="1" si="10"/>
        <v>-0.8</v>
      </c>
    </row>
    <row r="7" spans="1:11" ht="18" customHeight="1" x14ac:dyDescent="0.25">
      <c r="A7" s="9">
        <f t="shared" si="0"/>
        <v>45297</v>
      </c>
      <c r="B7" s="1" t="str">
        <f t="shared" ca="1" si="1"/>
        <v>Product B</v>
      </c>
      <c r="C7" s="1" t="str">
        <f t="shared" ca="1" si="2"/>
        <v>Asia</v>
      </c>
      <c r="D7" s="10">
        <f t="shared" ca="1" si="3"/>
        <v>372</v>
      </c>
      <c r="E7" s="10">
        <f t="shared" ca="1" si="4"/>
        <v>33852</v>
      </c>
      <c r="F7" s="11">
        <f t="shared" ca="1" si="5"/>
        <v>10.3</v>
      </c>
      <c r="G7" s="12">
        <f t="shared" ca="1" si="6"/>
        <v>91</v>
      </c>
      <c r="H7" s="13">
        <f t="shared" ca="1" si="7"/>
        <v>44</v>
      </c>
      <c r="I7" s="13">
        <f t="shared" ca="1" si="8"/>
        <v>47.78</v>
      </c>
      <c r="J7" s="10">
        <f t="shared" ca="1" si="9"/>
        <v>30052</v>
      </c>
      <c r="K7" s="11">
        <f t="shared" ca="1" si="10"/>
        <v>-1.2</v>
      </c>
    </row>
    <row r="8" spans="1:11" ht="18" customHeight="1" x14ac:dyDescent="0.25">
      <c r="A8" s="9">
        <f t="shared" si="0"/>
        <v>45298</v>
      </c>
      <c r="B8" s="1" t="str">
        <f t="shared" ca="1" si="1"/>
        <v>Product E</v>
      </c>
      <c r="C8" s="1" t="str">
        <f t="shared" ca="1" si="2"/>
        <v>South America</v>
      </c>
      <c r="D8" s="10">
        <f t="shared" ca="1" si="3"/>
        <v>591</v>
      </c>
      <c r="E8" s="10">
        <f t="shared" ca="1" si="4"/>
        <v>117018</v>
      </c>
      <c r="F8" s="11">
        <f t="shared" ca="1" si="5"/>
        <v>19</v>
      </c>
      <c r="G8" s="12">
        <f t="shared" ca="1" si="6"/>
        <v>75</v>
      </c>
      <c r="H8" s="13">
        <f t="shared" ca="1" si="7"/>
        <v>94</v>
      </c>
      <c r="I8" s="13">
        <f t="shared" ca="1" si="8"/>
        <v>88.55</v>
      </c>
      <c r="J8" s="10">
        <f t="shared" ca="1" si="9"/>
        <v>25647</v>
      </c>
      <c r="K8" s="11">
        <f t="shared" ca="1" si="10"/>
        <v>4.3</v>
      </c>
    </row>
    <row r="9" spans="1:11" ht="18" customHeight="1" x14ac:dyDescent="0.25">
      <c r="A9" s="9">
        <f t="shared" si="0"/>
        <v>45299</v>
      </c>
      <c r="B9" s="1" t="str">
        <f t="shared" ca="1" si="1"/>
        <v>Product B</v>
      </c>
      <c r="C9" s="1" t="str">
        <f t="shared" ca="1" si="2"/>
        <v>South America</v>
      </c>
      <c r="D9" s="10">
        <f t="shared" ca="1" si="3"/>
        <v>841</v>
      </c>
      <c r="E9" s="10">
        <f t="shared" ca="1" si="4"/>
        <v>62234</v>
      </c>
      <c r="F9" s="11">
        <f t="shared" ca="1" si="5"/>
        <v>24.7</v>
      </c>
      <c r="G9" s="12">
        <f t="shared" ca="1" si="6"/>
        <v>72</v>
      </c>
      <c r="H9" s="13">
        <f t="shared" ca="1" si="7"/>
        <v>45</v>
      </c>
      <c r="I9" s="13">
        <f t="shared" ca="1" si="8"/>
        <v>44.03</v>
      </c>
      <c r="J9" s="10">
        <f t="shared" ca="1" si="9"/>
        <v>33902</v>
      </c>
      <c r="K9" s="11">
        <f t="shared" ca="1" si="10"/>
        <v>12</v>
      </c>
    </row>
    <row r="10" spans="1:11" ht="18" customHeight="1" x14ac:dyDescent="0.25">
      <c r="A10" s="9">
        <f t="shared" si="0"/>
        <v>45300</v>
      </c>
      <c r="B10" s="1" t="str">
        <f t="shared" ca="1" si="1"/>
        <v>Product D</v>
      </c>
      <c r="C10" s="1" t="str">
        <f t="shared" ca="1" si="2"/>
        <v>South America</v>
      </c>
      <c r="D10" s="10">
        <f t="shared" ca="1" si="3"/>
        <v>984</v>
      </c>
      <c r="E10" s="10">
        <f t="shared" ca="1" si="4"/>
        <v>185976</v>
      </c>
      <c r="F10" s="11">
        <f t="shared" ca="1" si="5"/>
        <v>17.899999999999999</v>
      </c>
      <c r="G10" s="12">
        <f t="shared" ca="1" si="6"/>
        <v>75</v>
      </c>
      <c r="H10" s="13">
        <f t="shared" ca="1" si="7"/>
        <v>47</v>
      </c>
      <c r="I10" s="13">
        <f t="shared" ca="1" si="8"/>
        <v>48.28</v>
      </c>
      <c r="J10" s="10">
        <f t="shared" ca="1" si="9"/>
        <v>38419</v>
      </c>
      <c r="K10" s="11">
        <f t="shared" ca="1" si="10"/>
        <v>0.3</v>
      </c>
    </row>
    <row r="11" spans="1:11" ht="18" customHeight="1" x14ac:dyDescent="0.25">
      <c r="A11" s="9">
        <f t="shared" si="0"/>
        <v>45301</v>
      </c>
      <c r="B11" s="1" t="str">
        <f t="shared" ca="1" si="1"/>
        <v>Product B</v>
      </c>
      <c r="C11" s="1" t="str">
        <f t="shared" ca="1" si="2"/>
        <v>South America</v>
      </c>
      <c r="D11" s="10">
        <f t="shared" ca="1" si="3"/>
        <v>653</v>
      </c>
      <c r="E11" s="10">
        <f t="shared" ca="1" si="4"/>
        <v>106439</v>
      </c>
      <c r="F11" s="11">
        <f t="shared" ca="1" si="5"/>
        <v>29.9</v>
      </c>
      <c r="G11" s="12">
        <f t="shared" ca="1" si="6"/>
        <v>96</v>
      </c>
      <c r="H11" s="13">
        <f t="shared" ca="1" si="7"/>
        <v>54</v>
      </c>
      <c r="I11" s="13">
        <f t="shared" ca="1" si="8"/>
        <v>56.88</v>
      </c>
      <c r="J11" s="10">
        <f t="shared" ca="1" si="9"/>
        <v>47375</v>
      </c>
      <c r="K11" s="11">
        <f t="shared" ca="1" si="10"/>
        <v>-1</v>
      </c>
    </row>
    <row r="12" spans="1:11" ht="18" customHeight="1" x14ac:dyDescent="0.25">
      <c r="A12" s="9">
        <f t="shared" si="0"/>
        <v>45302</v>
      </c>
      <c r="B12" s="1" t="str">
        <f t="shared" ca="1" si="1"/>
        <v>Product B</v>
      </c>
      <c r="C12" s="1" t="str">
        <f t="shared" ca="1" si="2"/>
        <v>Asia</v>
      </c>
      <c r="D12" s="10">
        <f t="shared" ca="1" si="3"/>
        <v>445</v>
      </c>
      <c r="E12" s="10">
        <f t="shared" ca="1" si="4"/>
        <v>69865</v>
      </c>
      <c r="F12" s="11">
        <f t="shared" ca="1" si="5"/>
        <v>14.2</v>
      </c>
      <c r="G12" s="12">
        <f t="shared" ca="1" si="6"/>
        <v>97</v>
      </c>
      <c r="H12" s="13">
        <f t="shared" ca="1" si="7"/>
        <v>63</v>
      </c>
      <c r="I12" s="13">
        <f t="shared" ca="1" si="8"/>
        <v>63.4</v>
      </c>
      <c r="J12" s="10">
        <f t="shared" ca="1" si="9"/>
        <v>39434</v>
      </c>
      <c r="K12" s="11">
        <f t="shared" ca="1" si="10"/>
        <v>-1.5</v>
      </c>
    </row>
    <row r="13" spans="1:11" ht="18" customHeight="1" x14ac:dyDescent="0.25">
      <c r="A13" s="9">
        <f t="shared" si="0"/>
        <v>45303</v>
      </c>
      <c r="B13" s="1" t="str">
        <f t="shared" ca="1" si="1"/>
        <v>Product D</v>
      </c>
      <c r="C13" s="1" t="str">
        <f t="shared" ca="1" si="2"/>
        <v>Africa</v>
      </c>
      <c r="D13" s="10">
        <f t="shared" ca="1" si="3"/>
        <v>378</v>
      </c>
      <c r="E13" s="10">
        <f t="shared" ca="1" si="4"/>
        <v>65772</v>
      </c>
      <c r="F13" s="11">
        <f t="shared" ca="1" si="5"/>
        <v>27.4</v>
      </c>
      <c r="G13" s="12">
        <f t="shared" ca="1" si="6"/>
        <v>73</v>
      </c>
      <c r="H13" s="13">
        <f t="shared" ca="1" si="7"/>
        <v>68</v>
      </c>
      <c r="I13" s="13">
        <f t="shared" ca="1" si="8"/>
        <v>72.06</v>
      </c>
      <c r="J13" s="10">
        <f t="shared" ca="1" si="9"/>
        <v>24238</v>
      </c>
      <c r="K13" s="11">
        <f t="shared" ca="1" si="10"/>
        <v>-4.4000000000000004</v>
      </c>
    </row>
    <row r="14" spans="1:11" ht="18" customHeight="1" x14ac:dyDescent="0.25">
      <c r="A14" s="9">
        <f t="shared" si="0"/>
        <v>45304</v>
      </c>
      <c r="B14" s="1" t="str">
        <f t="shared" ca="1" si="1"/>
        <v>Product C</v>
      </c>
      <c r="C14" s="1" t="str">
        <f t="shared" ca="1" si="2"/>
        <v>Africa</v>
      </c>
      <c r="D14" s="10">
        <f t="shared" ca="1" si="3"/>
        <v>311</v>
      </c>
      <c r="E14" s="10">
        <f t="shared" ca="1" si="4"/>
        <v>60645</v>
      </c>
      <c r="F14" s="11">
        <f t="shared" ca="1" si="5"/>
        <v>24.2</v>
      </c>
      <c r="G14" s="12">
        <f t="shared" ca="1" si="6"/>
        <v>75</v>
      </c>
      <c r="H14" s="13">
        <f t="shared" ca="1" si="7"/>
        <v>79</v>
      </c>
      <c r="I14" s="13">
        <f t="shared" ca="1" si="8"/>
        <v>82.7</v>
      </c>
      <c r="J14" s="10">
        <f t="shared" ca="1" si="9"/>
        <v>12567</v>
      </c>
      <c r="K14" s="11">
        <f t="shared" ca="1" si="10"/>
        <v>10.7</v>
      </c>
    </row>
    <row r="15" spans="1:11" ht="18" customHeight="1" x14ac:dyDescent="0.25">
      <c r="A15" s="9">
        <f t="shared" si="0"/>
        <v>45305</v>
      </c>
      <c r="B15" s="1" t="str">
        <f t="shared" ca="1" si="1"/>
        <v>Product B</v>
      </c>
      <c r="C15" s="1" t="str">
        <f t="shared" ca="1" si="2"/>
        <v>South America</v>
      </c>
      <c r="D15" s="10">
        <f t="shared" ca="1" si="3"/>
        <v>170</v>
      </c>
      <c r="E15" s="10">
        <f t="shared" ca="1" si="4"/>
        <v>28050</v>
      </c>
      <c r="F15" s="11">
        <f t="shared" ca="1" si="5"/>
        <v>14.5</v>
      </c>
      <c r="G15" s="12">
        <f t="shared" ca="1" si="6"/>
        <v>91</v>
      </c>
      <c r="H15" s="13">
        <f t="shared" ca="1" si="7"/>
        <v>47</v>
      </c>
      <c r="I15" s="13">
        <f t="shared" ca="1" si="8"/>
        <v>43.04</v>
      </c>
      <c r="J15" s="10">
        <f t="shared" ca="1" si="9"/>
        <v>21847</v>
      </c>
      <c r="K15" s="11">
        <f t="shared" ca="1" si="10"/>
        <v>5.8</v>
      </c>
    </row>
    <row r="16" spans="1:11" ht="18" customHeight="1" x14ac:dyDescent="0.25">
      <c r="A16" s="9">
        <f t="shared" si="0"/>
        <v>45306</v>
      </c>
      <c r="B16" s="1" t="str">
        <f t="shared" ca="1" si="1"/>
        <v>Product D</v>
      </c>
      <c r="C16" s="1" t="str">
        <f t="shared" ca="1" si="2"/>
        <v>North America</v>
      </c>
      <c r="D16" s="10">
        <f t="shared" ca="1" si="3"/>
        <v>273</v>
      </c>
      <c r="E16" s="10">
        <f t="shared" ca="1" si="4"/>
        <v>24843</v>
      </c>
      <c r="F16" s="11">
        <f t="shared" ca="1" si="5"/>
        <v>33.1</v>
      </c>
      <c r="G16" s="12">
        <f t="shared" ca="1" si="6"/>
        <v>71</v>
      </c>
      <c r="H16" s="13">
        <f t="shared" ca="1" si="7"/>
        <v>53</v>
      </c>
      <c r="I16" s="13">
        <f t="shared" ca="1" si="8"/>
        <v>53.58</v>
      </c>
      <c r="J16" s="10">
        <f t="shared" ca="1" si="9"/>
        <v>12389</v>
      </c>
      <c r="K16" s="11">
        <f t="shared" ca="1" si="10"/>
        <v>11.5</v>
      </c>
    </row>
    <row r="17" spans="1:11" ht="18" customHeight="1" x14ac:dyDescent="0.25">
      <c r="A17" s="9">
        <f t="shared" si="0"/>
        <v>45307</v>
      </c>
      <c r="B17" s="1" t="str">
        <f t="shared" ca="1" si="1"/>
        <v>Product E</v>
      </c>
      <c r="C17" s="1" t="str">
        <f t="shared" ca="1" si="2"/>
        <v>Asia</v>
      </c>
      <c r="D17" s="10">
        <f t="shared" ca="1" si="3"/>
        <v>632</v>
      </c>
      <c r="E17" s="10">
        <f t="shared" ca="1" si="4"/>
        <v>70152</v>
      </c>
      <c r="F17" s="11">
        <f t="shared" ca="1" si="5"/>
        <v>20.8</v>
      </c>
      <c r="G17" s="12">
        <f t="shared" ca="1" si="6"/>
        <v>91</v>
      </c>
      <c r="H17" s="13">
        <f t="shared" ca="1" si="7"/>
        <v>94</v>
      </c>
      <c r="I17" s="13">
        <f t="shared" ca="1" si="8"/>
        <v>97.87</v>
      </c>
      <c r="J17" s="10">
        <f t="shared" ca="1" si="9"/>
        <v>18550</v>
      </c>
      <c r="K17" s="11">
        <f t="shared" ca="1" si="10"/>
        <v>11.3</v>
      </c>
    </row>
    <row r="18" spans="1:11" ht="18" customHeight="1" x14ac:dyDescent="0.25">
      <c r="A18" s="9">
        <f t="shared" si="0"/>
        <v>45308</v>
      </c>
      <c r="B18" s="1" t="str">
        <f t="shared" ca="1" si="1"/>
        <v>Product A</v>
      </c>
      <c r="C18" s="1" t="str">
        <f t="shared" ca="1" si="2"/>
        <v>Africa</v>
      </c>
      <c r="D18" s="10">
        <f t="shared" ca="1" si="3"/>
        <v>153</v>
      </c>
      <c r="E18" s="10">
        <f t="shared" ca="1" si="4"/>
        <v>13158</v>
      </c>
      <c r="F18" s="11">
        <f t="shared" ca="1" si="5"/>
        <v>10.5</v>
      </c>
      <c r="G18" s="12">
        <f t="shared" ca="1" si="6"/>
        <v>93</v>
      </c>
      <c r="H18" s="13">
        <f t="shared" ca="1" si="7"/>
        <v>86</v>
      </c>
      <c r="I18" s="13">
        <f t="shared" ca="1" si="8"/>
        <v>80.12</v>
      </c>
      <c r="J18" s="10">
        <f t="shared" ca="1" si="9"/>
        <v>22833</v>
      </c>
      <c r="K18" s="11">
        <f t="shared" ca="1" si="10"/>
        <v>0.1</v>
      </c>
    </row>
    <row r="19" spans="1:11" ht="18" customHeight="1" x14ac:dyDescent="0.25">
      <c r="A19" s="9">
        <f t="shared" si="0"/>
        <v>45309</v>
      </c>
      <c r="B19" s="1" t="str">
        <f t="shared" ca="1" si="1"/>
        <v>Product A</v>
      </c>
      <c r="C19" s="1" t="str">
        <f t="shared" ca="1" si="2"/>
        <v>South America</v>
      </c>
      <c r="D19" s="10">
        <f t="shared" ca="1" si="3"/>
        <v>516</v>
      </c>
      <c r="E19" s="10">
        <f t="shared" ca="1" si="4"/>
        <v>94428</v>
      </c>
      <c r="F19" s="11">
        <f t="shared" ca="1" si="5"/>
        <v>12.5</v>
      </c>
      <c r="G19" s="12">
        <f t="shared" ca="1" si="6"/>
        <v>85</v>
      </c>
      <c r="H19" s="13">
        <f t="shared" ca="1" si="7"/>
        <v>53</v>
      </c>
      <c r="I19" s="13">
        <f t="shared" ca="1" si="8"/>
        <v>56.24</v>
      </c>
      <c r="J19" s="10">
        <f t="shared" ca="1" si="9"/>
        <v>20535</v>
      </c>
      <c r="K19" s="11">
        <f t="shared" ca="1" si="10"/>
        <v>4.2</v>
      </c>
    </row>
    <row r="20" spans="1:11" ht="18" customHeight="1" x14ac:dyDescent="0.25">
      <c r="A20" s="9">
        <f t="shared" si="0"/>
        <v>45310</v>
      </c>
      <c r="B20" s="1" t="str">
        <f t="shared" ca="1" si="1"/>
        <v>Product A</v>
      </c>
      <c r="C20" s="1" t="str">
        <f t="shared" ca="1" si="2"/>
        <v>Asia</v>
      </c>
      <c r="D20" s="10">
        <f t="shared" ca="1" si="3"/>
        <v>372</v>
      </c>
      <c r="E20" s="10">
        <f t="shared" ca="1" si="4"/>
        <v>56916</v>
      </c>
      <c r="F20" s="11">
        <f t="shared" ca="1" si="5"/>
        <v>18.7</v>
      </c>
      <c r="G20" s="12">
        <f t="shared" ca="1" si="6"/>
        <v>96</v>
      </c>
      <c r="H20" s="13">
        <f t="shared" ca="1" si="7"/>
        <v>103</v>
      </c>
      <c r="I20" s="13">
        <f t="shared" ca="1" si="8"/>
        <v>100.77</v>
      </c>
      <c r="J20" s="10">
        <f t="shared" ca="1" si="9"/>
        <v>42539</v>
      </c>
      <c r="K20" s="11">
        <f t="shared" ca="1" si="10"/>
        <v>13.6</v>
      </c>
    </row>
    <row r="21" spans="1:11" ht="18" customHeight="1" x14ac:dyDescent="0.25">
      <c r="A21" s="9">
        <f t="shared" si="0"/>
        <v>45311</v>
      </c>
      <c r="B21" s="1" t="str">
        <f t="shared" ca="1" si="1"/>
        <v>Product A</v>
      </c>
      <c r="C21" s="1" t="str">
        <f t="shared" ca="1" si="2"/>
        <v>Africa</v>
      </c>
      <c r="D21" s="10">
        <f t="shared" ca="1" si="3"/>
        <v>212</v>
      </c>
      <c r="E21" s="10">
        <f t="shared" ca="1" si="4"/>
        <v>39432</v>
      </c>
      <c r="F21" s="11">
        <f t="shared" ca="1" si="5"/>
        <v>12.1</v>
      </c>
      <c r="G21" s="12">
        <f t="shared" ca="1" si="6"/>
        <v>77</v>
      </c>
      <c r="H21" s="13">
        <f t="shared" ca="1" si="7"/>
        <v>46</v>
      </c>
      <c r="I21" s="13">
        <f t="shared" ca="1" si="8"/>
        <v>43.68</v>
      </c>
      <c r="J21" s="10">
        <f t="shared" ca="1" si="9"/>
        <v>22732</v>
      </c>
      <c r="K21" s="11">
        <f t="shared" ca="1" si="10"/>
        <v>-4.7</v>
      </c>
    </row>
    <row r="22" spans="1:11" ht="18" customHeight="1" x14ac:dyDescent="0.25">
      <c r="A22" s="9">
        <f t="shared" si="0"/>
        <v>45312</v>
      </c>
      <c r="B22" s="1" t="str">
        <f t="shared" ca="1" si="1"/>
        <v>Product E</v>
      </c>
      <c r="C22" s="1" t="str">
        <f t="shared" ca="1" si="2"/>
        <v>Africa</v>
      </c>
      <c r="D22" s="10">
        <f t="shared" ca="1" si="3"/>
        <v>397</v>
      </c>
      <c r="E22" s="10">
        <f t="shared" ca="1" si="4"/>
        <v>37715</v>
      </c>
      <c r="F22" s="11">
        <f t="shared" ca="1" si="5"/>
        <v>15.9</v>
      </c>
      <c r="G22" s="12">
        <f t="shared" ca="1" si="6"/>
        <v>96</v>
      </c>
      <c r="H22" s="13">
        <f t="shared" ca="1" si="7"/>
        <v>101</v>
      </c>
      <c r="I22" s="13">
        <f t="shared" ca="1" si="8"/>
        <v>97.01</v>
      </c>
      <c r="J22" s="10">
        <f t="shared" ca="1" si="9"/>
        <v>12394</v>
      </c>
      <c r="K22" s="11">
        <f t="shared" ca="1" si="10"/>
        <v>4.9000000000000004</v>
      </c>
    </row>
    <row r="23" spans="1:11" ht="18" customHeight="1" x14ac:dyDescent="0.25">
      <c r="A23" s="9">
        <f t="shared" si="0"/>
        <v>45313</v>
      </c>
      <c r="B23" s="1" t="str">
        <f t="shared" ca="1" si="1"/>
        <v>Product A</v>
      </c>
      <c r="C23" s="1" t="str">
        <f t="shared" ca="1" si="2"/>
        <v>Asia</v>
      </c>
      <c r="D23" s="10">
        <f t="shared" ca="1" si="3"/>
        <v>686</v>
      </c>
      <c r="E23" s="10">
        <f t="shared" ca="1" si="4"/>
        <v>69286</v>
      </c>
      <c r="F23" s="11">
        <f t="shared" ca="1" si="5"/>
        <v>22.3</v>
      </c>
      <c r="G23" s="12">
        <f t="shared" ca="1" si="6"/>
        <v>72</v>
      </c>
      <c r="H23" s="13">
        <f t="shared" ca="1" si="7"/>
        <v>41</v>
      </c>
      <c r="I23" s="13">
        <f t="shared" ca="1" si="8"/>
        <v>39.549999999999997</v>
      </c>
      <c r="J23" s="10">
        <f t="shared" ca="1" si="9"/>
        <v>13791</v>
      </c>
      <c r="K23" s="11">
        <f t="shared" ca="1" si="10"/>
        <v>3.1</v>
      </c>
    </row>
    <row r="24" spans="1:11" ht="18" customHeight="1" x14ac:dyDescent="0.25">
      <c r="A24" s="9">
        <f t="shared" si="0"/>
        <v>45314</v>
      </c>
      <c r="B24" s="1" t="str">
        <f t="shared" ca="1" si="1"/>
        <v>Product D</v>
      </c>
      <c r="C24" s="1" t="str">
        <f t="shared" ca="1" si="2"/>
        <v>Europe</v>
      </c>
      <c r="D24" s="10">
        <f t="shared" ca="1" si="3"/>
        <v>841</v>
      </c>
      <c r="E24" s="10">
        <f t="shared" ca="1" si="4"/>
        <v>58029</v>
      </c>
      <c r="F24" s="11">
        <f t="shared" ca="1" si="5"/>
        <v>13.8</v>
      </c>
      <c r="G24" s="12">
        <f t="shared" ca="1" si="6"/>
        <v>94</v>
      </c>
      <c r="H24" s="13">
        <f t="shared" ca="1" si="7"/>
        <v>87</v>
      </c>
      <c r="I24" s="13">
        <f t="shared" ca="1" si="8"/>
        <v>89.47</v>
      </c>
      <c r="J24" s="10">
        <f t="shared" ca="1" si="9"/>
        <v>40189</v>
      </c>
      <c r="K24" s="11">
        <f t="shared" ca="1" si="10"/>
        <v>0.9</v>
      </c>
    </row>
    <row r="25" spans="1:11" ht="18" customHeight="1" x14ac:dyDescent="0.25">
      <c r="A25" s="9">
        <f t="shared" si="0"/>
        <v>45315</v>
      </c>
      <c r="B25" s="1" t="str">
        <f t="shared" ca="1" si="1"/>
        <v>Product A</v>
      </c>
      <c r="C25" s="1" t="str">
        <f t="shared" ca="1" si="2"/>
        <v>South America</v>
      </c>
      <c r="D25" s="10">
        <f t="shared" ca="1" si="3"/>
        <v>718</v>
      </c>
      <c r="E25" s="10">
        <f t="shared" ca="1" si="4"/>
        <v>51696</v>
      </c>
      <c r="F25" s="11">
        <f t="shared" ca="1" si="5"/>
        <v>6</v>
      </c>
      <c r="G25" s="12">
        <f t="shared" ca="1" si="6"/>
        <v>90</v>
      </c>
      <c r="H25" s="13">
        <f t="shared" ca="1" si="7"/>
        <v>113</v>
      </c>
      <c r="I25" s="13">
        <f t="shared" ca="1" si="8"/>
        <v>116.08</v>
      </c>
      <c r="J25" s="10">
        <f t="shared" ca="1" si="9"/>
        <v>20315</v>
      </c>
      <c r="K25" s="11">
        <f t="shared" ca="1" si="10"/>
        <v>0.9</v>
      </c>
    </row>
    <row r="26" spans="1:11" ht="18" customHeight="1" x14ac:dyDescent="0.25">
      <c r="A26" s="9">
        <f t="shared" si="0"/>
        <v>45316</v>
      </c>
      <c r="B26" s="1" t="str">
        <f t="shared" ca="1" si="1"/>
        <v>Product E</v>
      </c>
      <c r="C26" s="1" t="str">
        <f t="shared" ca="1" si="2"/>
        <v>Asia</v>
      </c>
      <c r="D26" s="10">
        <f t="shared" ca="1" si="3"/>
        <v>962</v>
      </c>
      <c r="E26" s="10">
        <f t="shared" ca="1" si="4"/>
        <v>143338</v>
      </c>
      <c r="F26" s="11">
        <f t="shared" ca="1" si="5"/>
        <v>15</v>
      </c>
      <c r="G26" s="12">
        <f t="shared" ca="1" si="6"/>
        <v>86</v>
      </c>
      <c r="H26" s="13">
        <f t="shared" ca="1" si="7"/>
        <v>94</v>
      </c>
      <c r="I26" s="13">
        <f t="shared" ca="1" si="8"/>
        <v>90.66</v>
      </c>
      <c r="J26" s="10">
        <f t="shared" ca="1" si="9"/>
        <v>19572</v>
      </c>
      <c r="K26" s="11">
        <f t="shared" ca="1" si="10"/>
        <v>-3.5</v>
      </c>
    </row>
    <row r="27" spans="1:11" ht="18" customHeight="1" x14ac:dyDescent="0.25">
      <c r="A27" s="9">
        <f t="shared" si="0"/>
        <v>45317</v>
      </c>
      <c r="B27" s="1" t="str">
        <f t="shared" ca="1" si="1"/>
        <v>Product D</v>
      </c>
      <c r="C27" s="1" t="str">
        <f t="shared" ca="1" si="2"/>
        <v>North America</v>
      </c>
      <c r="D27" s="10">
        <f t="shared" ca="1" si="3"/>
        <v>630</v>
      </c>
      <c r="E27" s="10">
        <f t="shared" ca="1" si="4"/>
        <v>57330</v>
      </c>
      <c r="F27" s="11">
        <f t="shared" ca="1" si="5"/>
        <v>8</v>
      </c>
      <c r="G27" s="12">
        <f t="shared" ca="1" si="6"/>
        <v>76</v>
      </c>
      <c r="H27" s="13">
        <f t="shared" ca="1" si="7"/>
        <v>96</v>
      </c>
      <c r="I27" s="13">
        <f t="shared" ca="1" si="8"/>
        <v>94.58</v>
      </c>
      <c r="J27" s="10">
        <f t="shared" ca="1" si="9"/>
        <v>39853</v>
      </c>
      <c r="K27" s="11">
        <f t="shared" ca="1" si="10"/>
        <v>13.5</v>
      </c>
    </row>
    <row r="28" spans="1:11" ht="18" customHeight="1" x14ac:dyDescent="0.25">
      <c r="A28" s="9">
        <f t="shared" si="0"/>
        <v>45318</v>
      </c>
      <c r="B28" s="1" t="str">
        <f t="shared" ca="1" si="1"/>
        <v>Product B</v>
      </c>
      <c r="C28" s="1" t="str">
        <f t="shared" ca="1" si="2"/>
        <v>South America</v>
      </c>
      <c r="D28" s="10">
        <f t="shared" ca="1" si="3"/>
        <v>957</v>
      </c>
      <c r="E28" s="10">
        <f t="shared" ca="1" si="4"/>
        <v>189486</v>
      </c>
      <c r="F28" s="11">
        <f t="shared" ca="1" si="5"/>
        <v>26.8</v>
      </c>
      <c r="G28" s="12">
        <f t="shared" ca="1" si="6"/>
        <v>79</v>
      </c>
      <c r="H28" s="13">
        <f t="shared" ca="1" si="7"/>
        <v>79</v>
      </c>
      <c r="I28" s="13">
        <f t="shared" ca="1" si="8"/>
        <v>84.12</v>
      </c>
      <c r="J28" s="10">
        <f t="shared" ca="1" si="9"/>
        <v>49144</v>
      </c>
      <c r="K28" s="11">
        <f t="shared" ca="1" si="10"/>
        <v>1.6</v>
      </c>
    </row>
    <row r="29" spans="1:11" ht="18" customHeight="1" x14ac:dyDescent="0.25">
      <c r="A29" s="9">
        <f t="shared" si="0"/>
        <v>45319</v>
      </c>
      <c r="B29" s="1" t="str">
        <f t="shared" ca="1" si="1"/>
        <v>Product D</v>
      </c>
      <c r="C29" s="1" t="str">
        <f t="shared" ca="1" si="2"/>
        <v>North America</v>
      </c>
      <c r="D29" s="10">
        <f t="shared" ca="1" si="3"/>
        <v>293</v>
      </c>
      <c r="E29" s="10">
        <f t="shared" ca="1" si="4"/>
        <v>23147</v>
      </c>
      <c r="F29" s="11">
        <f t="shared" ca="1" si="5"/>
        <v>19.5</v>
      </c>
      <c r="G29" s="12">
        <f t="shared" ca="1" si="6"/>
        <v>90</v>
      </c>
      <c r="H29" s="13">
        <f t="shared" ca="1" si="7"/>
        <v>50</v>
      </c>
      <c r="I29" s="13">
        <f t="shared" ca="1" si="8"/>
        <v>53.56</v>
      </c>
      <c r="J29" s="10">
        <f t="shared" ca="1" si="9"/>
        <v>20918</v>
      </c>
      <c r="K29" s="11">
        <f t="shared" ca="1" si="10"/>
        <v>2.7</v>
      </c>
    </row>
    <row r="30" spans="1:11" ht="18" customHeight="1" x14ac:dyDescent="0.25">
      <c r="A30" s="9">
        <f t="shared" si="0"/>
        <v>45320</v>
      </c>
      <c r="B30" s="1" t="str">
        <f t="shared" ca="1" si="1"/>
        <v>Product A</v>
      </c>
      <c r="C30" s="1" t="str">
        <f t="shared" ca="1" si="2"/>
        <v>Asia</v>
      </c>
      <c r="D30" s="10">
        <f t="shared" ca="1" si="3"/>
        <v>336</v>
      </c>
      <c r="E30" s="10">
        <f t="shared" ca="1" si="4"/>
        <v>63168</v>
      </c>
      <c r="F30" s="11">
        <f t="shared" ca="1" si="5"/>
        <v>32.200000000000003</v>
      </c>
      <c r="G30" s="12">
        <f t="shared" ca="1" si="6"/>
        <v>87</v>
      </c>
      <c r="H30" s="13">
        <f t="shared" ca="1" si="7"/>
        <v>81</v>
      </c>
      <c r="I30" s="13">
        <f t="shared" ca="1" si="8"/>
        <v>82.87</v>
      </c>
      <c r="J30" s="10">
        <f t="shared" ca="1" si="9"/>
        <v>22222</v>
      </c>
      <c r="K30" s="11">
        <f t="shared" ca="1" si="10"/>
        <v>0.8</v>
      </c>
    </row>
    <row r="31" spans="1:11" ht="18" customHeight="1" x14ac:dyDescent="0.25">
      <c r="A31" s="9">
        <f t="shared" si="0"/>
        <v>45321</v>
      </c>
      <c r="B31" s="1" t="str">
        <f t="shared" ca="1" si="1"/>
        <v>Product B</v>
      </c>
      <c r="C31" s="1" t="str">
        <f t="shared" ca="1" si="2"/>
        <v>Europe</v>
      </c>
      <c r="D31" s="10">
        <f t="shared" ca="1" si="3"/>
        <v>620</v>
      </c>
      <c r="E31" s="10">
        <f t="shared" ca="1" si="4"/>
        <v>84940</v>
      </c>
      <c r="F31" s="11">
        <f t="shared" ca="1" si="5"/>
        <v>29.8</v>
      </c>
      <c r="G31" s="12">
        <f t="shared" ca="1" si="6"/>
        <v>89</v>
      </c>
      <c r="H31" s="13">
        <f t="shared" ca="1" si="7"/>
        <v>43</v>
      </c>
      <c r="I31" s="13">
        <f t="shared" ca="1" si="8"/>
        <v>43.68</v>
      </c>
      <c r="J31" s="10">
        <f t="shared" ca="1" si="9"/>
        <v>45021</v>
      </c>
      <c r="K31" s="11">
        <f t="shared" ca="1" si="10"/>
        <v>3.2</v>
      </c>
    </row>
    <row r="32" spans="1:11" ht="18" customHeight="1" x14ac:dyDescent="0.25">
      <c r="A32" s="9">
        <f t="shared" si="0"/>
        <v>45322</v>
      </c>
      <c r="B32" s="1" t="str">
        <f t="shared" ca="1" si="1"/>
        <v>Product A</v>
      </c>
      <c r="C32" s="1" t="str">
        <f t="shared" ca="1" si="2"/>
        <v>Asia</v>
      </c>
      <c r="D32" s="10">
        <f t="shared" ca="1" si="3"/>
        <v>909</v>
      </c>
      <c r="E32" s="10">
        <f t="shared" ca="1" si="4"/>
        <v>99081</v>
      </c>
      <c r="F32" s="11">
        <f t="shared" ca="1" si="5"/>
        <v>29.3</v>
      </c>
      <c r="G32" s="12">
        <f t="shared" ca="1" si="6"/>
        <v>76</v>
      </c>
      <c r="H32" s="13">
        <f t="shared" ca="1" si="7"/>
        <v>98</v>
      </c>
      <c r="I32" s="13">
        <f t="shared" ca="1" si="8"/>
        <v>103.66</v>
      </c>
      <c r="J32" s="10">
        <f t="shared" ca="1" si="9"/>
        <v>39301</v>
      </c>
      <c r="K32" s="11">
        <f t="shared" ca="1" si="10"/>
        <v>-3.6</v>
      </c>
    </row>
    <row r="33" spans="1:11" ht="18" customHeight="1" x14ac:dyDescent="0.25">
      <c r="A33" s="9">
        <f t="shared" si="0"/>
        <v>45323</v>
      </c>
      <c r="B33" s="1" t="str">
        <f t="shared" ca="1" si="1"/>
        <v>Product D</v>
      </c>
      <c r="C33" s="1" t="str">
        <f t="shared" ca="1" si="2"/>
        <v>Africa</v>
      </c>
      <c r="D33" s="10">
        <f t="shared" ca="1" si="3"/>
        <v>743</v>
      </c>
      <c r="E33" s="10">
        <f t="shared" ca="1" si="4"/>
        <v>142656</v>
      </c>
      <c r="F33" s="11">
        <f t="shared" ca="1" si="5"/>
        <v>33.4</v>
      </c>
      <c r="G33" s="12">
        <f t="shared" ca="1" si="6"/>
        <v>78</v>
      </c>
      <c r="H33" s="13">
        <f t="shared" ca="1" si="7"/>
        <v>41</v>
      </c>
      <c r="I33" s="13">
        <f t="shared" ca="1" si="8"/>
        <v>36.9</v>
      </c>
      <c r="J33" s="10">
        <f t="shared" ca="1" si="9"/>
        <v>7690</v>
      </c>
      <c r="K33" s="11">
        <f t="shared" ca="1" si="10"/>
        <v>9.6999999999999993</v>
      </c>
    </row>
    <row r="34" spans="1:11" ht="18" customHeight="1" x14ac:dyDescent="0.25">
      <c r="A34" s="9">
        <f t="shared" si="0"/>
        <v>45324</v>
      </c>
      <c r="B34" s="1" t="str">
        <f t="shared" ca="1" si="1"/>
        <v>Product C</v>
      </c>
      <c r="C34" s="1" t="str">
        <f t="shared" ca="1" si="2"/>
        <v>Africa</v>
      </c>
      <c r="D34" s="10">
        <f t="shared" ca="1" si="3"/>
        <v>640</v>
      </c>
      <c r="E34" s="10">
        <f t="shared" ca="1" si="4"/>
        <v>41600</v>
      </c>
      <c r="F34" s="11">
        <f t="shared" ca="1" si="5"/>
        <v>24.2</v>
      </c>
      <c r="G34" s="12">
        <f t="shared" ca="1" si="6"/>
        <v>78</v>
      </c>
      <c r="H34" s="13">
        <f t="shared" ca="1" si="7"/>
        <v>86</v>
      </c>
      <c r="I34" s="13">
        <f t="shared" ca="1" si="8"/>
        <v>79.19</v>
      </c>
      <c r="J34" s="10">
        <f t="shared" ca="1" si="9"/>
        <v>10573</v>
      </c>
      <c r="K34" s="11">
        <f t="shared" ca="1" si="10"/>
        <v>-3.9</v>
      </c>
    </row>
    <row r="35" spans="1:11" ht="18" customHeight="1" x14ac:dyDescent="0.25">
      <c r="A35" s="9">
        <f t="shared" ref="A35:A51" si="11">A34+1</f>
        <v>45325</v>
      </c>
      <c r="B35" s="1" t="str">
        <f t="shared" ca="1" si="1"/>
        <v>Product C</v>
      </c>
      <c r="C35" s="1" t="str">
        <f t="shared" ca="1" si="2"/>
        <v>South America</v>
      </c>
      <c r="D35" s="10">
        <f t="shared" ca="1" si="3"/>
        <v>625</v>
      </c>
      <c r="E35" s="10">
        <f t="shared" ca="1" si="4"/>
        <v>82500</v>
      </c>
      <c r="F35" s="11">
        <f t="shared" ca="1" si="5"/>
        <v>7</v>
      </c>
      <c r="G35" s="12">
        <f t="shared" ca="1" si="6"/>
        <v>77</v>
      </c>
      <c r="H35" s="13">
        <f t="shared" ca="1" si="7"/>
        <v>97</v>
      </c>
      <c r="I35" s="13">
        <f t="shared" ca="1" si="8"/>
        <v>99.69</v>
      </c>
      <c r="J35" s="10">
        <f t="shared" ca="1" si="9"/>
        <v>34084</v>
      </c>
      <c r="K35" s="11">
        <f t="shared" ca="1" si="10"/>
        <v>8.5</v>
      </c>
    </row>
    <row r="36" spans="1:11" ht="18" customHeight="1" x14ac:dyDescent="0.25">
      <c r="A36" s="9">
        <f t="shared" si="11"/>
        <v>45326</v>
      </c>
      <c r="B36" s="1" t="str">
        <f t="shared" ca="1" si="1"/>
        <v>Product E</v>
      </c>
      <c r="C36" s="1" t="str">
        <f t="shared" ca="1" si="2"/>
        <v>Africa</v>
      </c>
      <c r="D36" s="10">
        <f t="shared" ca="1" si="3"/>
        <v>630</v>
      </c>
      <c r="E36" s="10">
        <f t="shared" ca="1" si="4"/>
        <v>63000</v>
      </c>
      <c r="F36" s="11">
        <f t="shared" ca="1" si="5"/>
        <v>12.8</v>
      </c>
      <c r="G36" s="12">
        <f t="shared" ca="1" si="6"/>
        <v>82</v>
      </c>
      <c r="H36" s="13">
        <f t="shared" ca="1" si="7"/>
        <v>57</v>
      </c>
      <c r="I36" s="13">
        <f t="shared" ca="1" si="8"/>
        <v>55.72</v>
      </c>
      <c r="J36" s="10">
        <f t="shared" ca="1" si="9"/>
        <v>28800</v>
      </c>
      <c r="K36" s="11">
        <f t="shared" ca="1" si="10"/>
        <v>14.3</v>
      </c>
    </row>
    <row r="37" spans="1:11" ht="18" customHeight="1" x14ac:dyDescent="0.25">
      <c r="A37" s="9">
        <f t="shared" si="11"/>
        <v>45327</v>
      </c>
      <c r="B37" s="1" t="str">
        <f t="shared" ca="1" si="1"/>
        <v>Product A</v>
      </c>
      <c r="C37" s="1" t="str">
        <f t="shared" ca="1" si="2"/>
        <v>Europe</v>
      </c>
      <c r="D37" s="10">
        <f t="shared" ca="1" si="3"/>
        <v>510</v>
      </c>
      <c r="E37" s="10">
        <f t="shared" ca="1" si="4"/>
        <v>45390</v>
      </c>
      <c r="F37" s="11">
        <f t="shared" ca="1" si="5"/>
        <v>23.1</v>
      </c>
      <c r="G37" s="12">
        <f t="shared" ca="1" si="6"/>
        <v>96</v>
      </c>
      <c r="H37" s="13">
        <f t="shared" ca="1" si="7"/>
        <v>88</v>
      </c>
      <c r="I37" s="13">
        <f t="shared" ca="1" si="8"/>
        <v>93.54</v>
      </c>
      <c r="J37" s="10">
        <f t="shared" ca="1" si="9"/>
        <v>18496</v>
      </c>
      <c r="K37" s="11">
        <f t="shared" ca="1" si="10"/>
        <v>13.9</v>
      </c>
    </row>
    <row r="38" spans="1:11" ht="18" customHeight="1" x14ac:dyDescent="0.25">
      <c r="A38" s="9">
        <f t="shared" si="11"/>
        <v>45328</v>
      </c>
      <c r="B38" s="1" t="str">
        <f t="shared" ca="1" si="1"/>
        <v>Product C</v>
      </c>
      <c r="C38" s="1" t="str">
        <f t="shared" ca="1" si="2"/>
        <v>North America</v>
      </c>
      <c r="D38" s="10">
        <f t="shared" ca="1" si="3"/>
        <v>456</v>
      </c>
      <c r="E38" s="10">
        <f t="shared" ca="1" si="4"/>
        <v>52440</v>
      </c>
      <c r="F38" s="11">
        <f t="shared" ca="1" si="5"/>
        <v>17</v>
      </c>
      <c r="G38" s="12">
        <f t="shared" ca="1" si="6"/>
        <v>74</v>
      </c>
      <c r="H38" s="13">
        <f t="shared" ca="1" si="7"/>
        <v>100</v>
      </c>
      <c r="I38" s="13">
        <f t="shared" ca="1" si="8"/>
        <v>103.77</v>
      </c>
      <c r="J38" s="10">
        <f t="shared" ca="1" si="9"/>
        <v>13586</v>
      </c>
      <c r="K38" s="11">
        <f t="shared" ca="1" si="10"/>
        <v>8</v>
      </c>
    </row>
    <row r="39" spans="1:11" ht="18" customHeight="1" x14ac:dyDescent="0.25">
      <c r="A39" s="9">
        <f t="shared" si="11"/>
        <v>45329</v>
      </c>
      <c r="B39" s="1" t="str">
        <f t="shared" ca="1" si="1"/>
        <v>Product A</v>
      </c>
      <c r="C39" s="1" t="str">
        <f t="shared" ca="1" si="2"/>
        <v>Africa</v>
      </c>
      <c r="D39" s="10">
        <f t="shared" ca="1" si="3"/>
        <v>787</v>
      </c>
      <c r="E39" s="10">
        <f t="shared" ca="1" si="4"/>
        <v>81848</v>
      </c>
      <c r="F39" s="11">
        <f t="shared" ca="1" si="5"/>
        <v>10.1</v>
      </c>
      <c r="G39" s="12">
        <f t="shared" ca="1" si="6"/>
        <v>83</v>
      </c>
      <c r="H39" s="13">
        <f t="shared" ca="1" si="7"/>
        <v>76</v>
      </c>
      <c r="I39" s="13">
        <f t="shared" ca="1" si="8"/>
        <v>78.040000000000006</v>
      </c>
      <c r="J39" s="10">
        <f t="shared" ca="1" si="9"/>
        <v>14295</v>
      </c>
      <c r="K39" s="11">
        <f t="shared" ca="1" si="10"/>
        <v>13</v>
      </c>
    </row>
    <row r="40" spans="1:11" ht="18" customHeight="1" x14ac:dyDescent="0.25">
      <c r="A40" s="9">
        <f t="shared" si="11"/>
        <v>45330</v>
      </c>
      <c r="B40" s="1" t="str">
        <f t="shared" ca="1" si="1"/>
        <v>Product D</v>
      </c>
      <c r="C40" s="1" t="str">
        <f t="shared" ca="1" si="2"/>
        <v>South America</v>
      </c>
      <c r="D40" s="10">
        <f t="shared" ca="1" si="3"/>
        <v>483</v>
      </c>
      <c r="E40" s="10">
        <f t="shared" ca="1" si="4"/>
        <v>88389</v>
      </c>
      <c r="F40" s="11">
        <f t="shared" ca="1" si="5"/>
        <v>13.4</v>
      </c>
      <c r="G40" s="12">
        <f t="shared" ca="1" si="6"/>
        <v>83</v>
      </c>
      <c r="H40" s="13">
        <f t="shared" ca="1" si="7"/>
        <v>86</v>
      </c>
      <c r="I40" s="13">
        <f t="shared" ca="1" si="8"/>
        <v>77.58</v>
      </c>
      <c r="J40" s="10">
        <f t="shared" ca="1" si="9"/>
        <v>41284</v>
      </c>
      <c r="K40" s="11">
        <f t="shared" ca="1" si="10"/>
        <v>-6.9</v>
      </c>
    </row>
    <row r="41" spans="1:11" ht="18" customHeight="1" x14ac:dyDescent="0.25">
      <c r="A41" s="9">
        <f t="shared" si="11"/>
        <v>45331</v>
      </c>
      <c r="B41" s="1" t="str">
        <f t="shared" ca="1" si="1"/>
        <v>Product D</v>
      </c>
      <c r="C41" s="1" t="str">
        <f t="shared" ca="1" si="2"/>
        <v>South America</v>
      </c>
      <c r="D41" s="10">
        <f t="shared" ca="1" si="3"/>
        <v>849</v>
      </c>
      <c r="E41" s="10">
        <f t="shared" ca="1" si="4"/>
        <v>133293</v>
      </c>
      <c r="F41" s="11">
        <f t="shared" ca="1" si="5"/>
        <v>23.1</v>
      </c>
      <c r="G41" s="12">
        <f t="shared" ca="1" si="6"/>
        <v>86</v>
      </c>
      <c r="H41" s="13">
        <f t="shared" ca="1" si="7"/>
        <v>97</v>
      </c>
      <c r="I41" s="13">
        <f t="shared" ca="1" si="8"/>
        <v>88.31</v>
      </c>
      <c r="J41" s="10">
        <f t="shared" ca="1" si="9"/>
        <v>8519</v>
      </c>
      <c r="K41" s="11">
        <f t="shared" ca="1" si="10"/>
        <v>2.7</v>
      </c>
    </row>
    <row r="42" spans="1:11" ht="18" customHeight="1" x14ac:dyDescent="0.25">
      <c r="A42" s="9">
        <f t="shared" si="11"/>
        <v>45332</v>
      </c>
      <c r="B42" s="1" t="str">
        <f t="shared" ca="1" si="1"/>
        <v>Product B</v>
      </c>
      <c r="C42" s="1" t="str">
        <f t="shared" ca="1" si="2"/>
        <v>South America</v>
      </c>
      <c r="D42" s="10">
        <f t="shared" ca="1" si="3"/>
        <v>463</v>
      </c>
      <c r="E42" s="10">
        <f t="shared" ca="1" si="4"/>
        <v>89822</v>
      </c>
      <c r="F42" s="11">
        <f t="shared" ca="1" si="5"/>
        <v>30.6</v>
      </c>
      <c r="G42" s="12">
        <f t="shared" ca="1" si="6"/>
        <v>72</v>
      </c>
      <c r="H42" s="13">
        <f t="shared" ca="1" si="7"/>
        <v>53</v>
      </c>
      <c r="I42" s="13">
        <f t="shared" ca="1" si="8"/>
        <v>58.26</v>
      </c>
      <c r="J42" s="10">
        <f t="shared" ca="1" si="9"/>
        <v>5381</v>
      </c>
      <c r="K42" s="11">
        <f t="shared" ca="1" si="10"/>
        <v>13.7</v>
      </c>
    </row>
    <row r="43" spans="1:11" ht="18" customHeight="1" x14ac:dyDescent="0.25">
      <c r="A43" s="9">
        <f t="shared" si="11"/>
        <v>45333</v>
      </c>
      <c r="B43" s="1" t="str">
        <f t="shared" ca="1" si="1"/>
        <v>Product E</v>
      </c>
      <c r="C43" s="1" t="str">
        <f t="shared" ca="1" si="2"/>
        <v>Europe</v>
      </c>
      <c r="D43" s="10">
        <f t="shared" ca="1" si="3"/>
        <v>928</v>
      </c>
      <c r="E43" s="10">
        <f t="shared" ca="1" si="4"/>
        <v>106720</v>
      </c>
      <c r="F43" s="11">
        <f t="shared" ca="1" si="5"/>
        <v>18.2</v>
      </c>
      <c r="G43" s="12">
        <f t="shared" ca="1" si="6"/>
        <v>73</v>
      </c>
      <c r="H43" s="13">
        <f t="shared" ca="1" si="7"/>
        <v>56</v>
      </c>
      <c r="I43" s="13">
        <f t="shared" ca="1" si="8"/>
        <v>61.5</v>
      </c>
      <c r="J43" s="10">
        <f t="shared" ca="1" si="9"/>
        <v>49807</v>
      </c>
      <c r="K43" s="11">
        <f t="shared" ca="1" si="10"/>
        <v>9.1</v>
      </c>
    </row>
    <row r="44" spans="1:11" ht="18" customHeight="1" x14ac:dyDescent="0.25">
      <c r="A44" s="9">
        <f t="shared" si="11"/>
        <v>45334</v>
      </c>
      <c r="B44" s="1" t="str">
        <f t="shared" ca="1" si="1"/>
        <v>Product C</v>
      </c>
      <c r="C44" s="1" t="str">
        <f t="shared" ca="1" si="2"/>
        <v>North America</v>
      </c>
      <c r="D44" s="10">
        <f t="shared" ca="1" si="3"/>
        <v>456</v>
      </c>
      <c r="E44" s="10">
        <f t="shared" ca="1" si="4"/>
        <v>52440</v>
      </c>
      <c r="F44" s="11">
        <f t="shared" ca="1" si="5"/>
        <v>12.2</v>
      </c>
      <c r="G44" s="12">
        <f t="shared" ca="1" si="6"/>
        <v>77</v>
      </c>
      <c r="H44" s="13">
        <f t="shared" ca="1" si="7"/>
        <v>110</v>
      </c>
      <c r="I44" s="13">
        <f t="shared" ca="1" si="8"/>
        <v>111.7</v>
      </c>
      <c r="J44" s="10">
        <f t="shared" ca="1" si="9"/>
        <v>19167</v>
      </c>
      <c r="K44" s="11">
        <f t="shared" ca="1" si="10"/>
        <v>5.5</v>
      </c>
    </row>
    <row r="45" spans="1:11" ht="18" customHeight="1" x14ac:dyDescent="0.25">
      <c r="A45" s="9">
        <f t="shared" si="11"/>
        <v>45335</v>
      </c>
      <c r="B45" s="1" t="str">
        <f t="shared" ca="1" si="1"/>
        <v>Product C</v>
      </c>
      <c r="C45" s="1" t="str">
        <f t="shared" ca="1" si="2"/>
        <v>Africa</v>
      </c>
      <c r="D45" s="10">
        <f t="shared" ca="1" si="3"/>
        <v>810</v>
      </c>
      <c r="E45" s="10">
        <f t="shared" ca="1" si="4"/>
        <v>151470</v>
      </c>
      <c r="F45" s="11">
        <f t="shared" ca="1" si="5"/>
        <v>6.2</v>
      </c>
      <c r="G45" s="12">
        <f t="shared" ca="1" si="6"/>
        <v>70</v>
      </c>
      <c r="H45" s="13">
        <f t="shared" ca="1" si="7"/>
        <v>119</v>
      </c>
      <c r="I45" s="13">
        <f t="shared" ca="1" si="8"/>
        <v>107.37</v>
      </c>
      <c r="J45" s="10">
        <f t="shared" ca="1" si="9"/>
        <v>17178</v>
      </c>
      <c r="K45" s="11">
        <f t="shared" ca="1" si="10"/>
        <v>3.2</v>
      </c>
    </row>
    <row r="46" spans="1:11" ht="18" customHeight="1" x14ac:dyDescent="0.25">
      <c r="A46" s="9">
        <f t="shared" si="11"/>
        <v>45336</v>
      </c>
      <c r="B46" s="1" t="str">
        <f t="shared" ca="1" si="1"/>
        <v>Product C</v>
      </c>
      <c r="C46" s="1" t="str">
        <f t="shared" ca="1" si="2"/>
        <v>Africa</v>
      </c>
      <c r="D46" s="10">
        <f t="shared" ca="1" si="3"/>
        <v>538</v>
      </c>
      <c r="E46" s="10">
        <f t="shared" ca="1" si="4"/>
        <v>91460</v>
      </c>
      <c r="F46" s="11">
        <f t="shared" ca="1" si="5"/>
        <v>24.9</v>
      </c>
      <c r="G46" s="12">
        <f t="shared" ca="1" si="6"/>
        <v>72</v>
      </c>
      <c r="H46" s="13">
        <f t="shared" ca="1" si="7"/>
        <v>56</v>
      </c>
      <c r="I46" s="13">
        <f t="shared" ca="1" si="8"/>
        <v>54.46</v>
      </c>
      <c r="J46" s="10">
        <f t="shared" ca="1" si="9"/>
        <v>8015</v>
      </c>
      <c r="K46" s="11">
        <f t="shared" ca="1" si="10"/>
        <v>12.5</v>
      </c>
    </row>
    <row r="47" spans="1:11" ht="18" customHeight="1" x14ac:dyDescent="0.25">
      <c r="A47" s="9">
        <f t="shared" si="11"/>
        <v>45337</v>
      </c>
      <c r="B47" s="1" t="str">
        <f t="shared" ca="1" si="1"/>
        <v>Product C</v>
      </c>
      <c r="C47" s="1" t="str">
        <f t="shared" ca="1" si="2"/>
        <v>North America</v>
      </c>
      <c r="D47" s="10">
        <f t="shared" ca="1" si="3"/>
        <v>137</v>
      </c>
      <c r="E47" s="10">
        <f t="shared" ca="1" si="4"/>
        <v>12056</v>
      </c>
      <c r="F47" s="11">
        <f t="shared" ca="1" si="5"/>
        <v>19.600000000000001</v>
      </c>
      <c r="G47" s="12">
        <f t="shared" ca="1" si="6"/>
        <v>78</v>
      </c>
      <c r="H47" s="13">
        <f t="shared" ca="1" si="7"/>
        <v>99</v>
      </c>
      <c r="I47" s="13">
        <f t="shared" ca="1" si="8"/>
        <v>91.93</v>
      </c>
      <c r="J47" s="10">
        <f t="shared" ca="1" si="9"/>
        <v>16393</v>
      </c>
      <c r="K47" s="11">
        <f t="shared" ca="1" si="10"/>
        <v>-2.5</v>
      </c>
    </row>
    <row r="48" spans="1:11" ht="18" customHeight="1" x14ac:dyDescent="0.25">
      <c r="A48" s="9">
        <f t="shared" si="11"/>
        <v>45338</v>
      </c>
      <c r="B48" s="1" t="str">
        <f t="shared" ca="1" si="1"/>
        <v>Product C</v>
      </c>
      <c r="C48" s="1" t="str">
        <f t="shared" ca="1" si="2"/>
        <v>Europe</v>
      </c>
      <c r="D48" s="10">
        <f t="shared" ca="1" si="3"/>
        <v>1000</v>
      </c>
      <c r="E48" s="10">
        <f t="shared" ca="1" si="4"/>
        <v>167000</v>
      </c>
      <c r="F48" s="11">
        <f t="shared" ca="1" si="5"/>
        <v>6.3</v>
      </c>
      <c r="G48" s="12">
        <f t="shared" ca="1" si="6"/>
        <v>88</v>
      </c>
      <c r="H48" s="13">
        <f t="shared" ca="1" si="7"/>
        <v>43</v>
      </c>
      <c r="I48" s="13">
        <f t="shared" ca="1" si="8"/>
        <v>44.91</v>
      </c>
      <c r="J48" s="10">
        <f t="shared" ca="1" si="9"/>
        <v>41269</v>
      </c>
      <c r="K48" s="11">
        <f t="shared" ca="1" si="10"/>
        <v>3.8</v>
      </c>
    </row>
    <row r="49" spans="1:11" ht="18" customHeight="1" x14ac:dyDescent="0.25">
      <c r="A49" s="9">
        <f t="shared" si="11"/>
        <v>45339</v>
      </c>
      <c r="B49" s="1" t="str">
        <f t="shared" ca="1" si="1"/>
        <v>Product D</v>
      </c>
      <c r="C49" s="1" t="str">
        <f t="shared" ca="1" si="2"/>
        <v>Africa</v>
      </c>
      <c r="D49" s="10">
        <f t="shared" ca="1" si="3"/>
        <v>595</v>
      </c>
      <c r="E49" s="10">
        <f t="shared" ca="1" si="4"/>
        <v>118405</v>
      </c>
      <c r="F49" s="11">
        <f t="shared" ca="1" si="5"/>
        <v>21.9</v>
      </c>
      <c r="G49" s="12">
        <f t="shared" ca="1" si="6"/>
        <v>92</v>
      </c>
      <c r="H49" s="13">
        <f t="shared" ca="1" si="7"/>
        <v>83</v>
      </c>
      <c r="I49" s="13">
        <f t="shared" ca="1" si="8"/>
        <v>79.5</v>
      </c>
      <c r="J49" s="10">
        <f t="shared" ca="1" si="9"/>
        <v>15992</v>
      </c>
      <c r="K49" s="11">
        <f t="shared" ca="1" si="10"/>
        <v>4.5</v>
      </c>
    </row>
    <row r="50" spans="1:11" ht="18" customHeight="1" x14ac:dyDescent="0.25">
      <c r="A50" s="9">
        <f t="shared" si="11"/>
        <v>45340</v>
      </c>
      <c r="B50" s="1" t="str">
        <f t="shared" ca="1" si="1"/>
        <v>Product A</v>
      </c>
      <c r="C50" s="1" t="str">
        <f t="shared" ca="1" si="2"/>
        <v>Asia</v>
      </c>
      <c r="D50" s="10">
        <f t="shared" ca="1" si="3"/>
        <v>142</v>
      </c>
      <c r="E50" s="10">
        <f t="shared" ca="1" si="4"/>
        <v>24992</v>
      </c>
      <c r="F50" s="11">
        <f t="shared" ca="1" si="5"/>
        <v>29.1</v>
      </c>
      <c r="G50" s="12">
        <f t="shared" ca="1" si="6"/>
        <v>95</v>
      </c>
      <c r="H50" s="13">
        <f t="shared" ca="1" si="7"/>
        <v>62</v>
      </c>
      <c r="I50" s="13">
        <f t="shared" ca="1" si="8"/>
        <v>64.31</v>
      </c>
      <c r="J50" s="10">
        <f t="shared" ca="1" si="9"/>
        <v>33971</v>
      </c>
      <c r="K50" s="11">
        <f t="shared" ca="1" si="10"/>
        <v>6.9</v>
      </c>
    </row>
    <row r="51" spans="1:11" ht="18" customHeight="1" x14ac:dyDescent="0.25">
      <c r="A51" s="9">
        <f t="shared" si="11"/>
        <v>45341</v>
      </c>
      <c r="B51" s="1" t="str">
        <f t="shared" ca="1" si="1"/>
        <v>Product D</v>
      </c>
      <c r="C51" s="1" t="str">
        <f t="shared" ca="1" si="2"/>
        <v>Asia</v>
      </c>
      <c r="D51" s="10">
        <f t="shared" ca="1" si="3"/>
        <v>580</v>
      </c>
      <c r="E51" s="10">
        <f t="shared" ca="1" si="4"/>
        <v>100920</v>
      </c>
      <c r="F51" s="11">
        <f t="shared" ca="1" si="5"/>
        <v>22.2</v>
      </c>
      <c r="G51" s="12">
        <f t="shared" ca="1" si="6"/>
        <v>78</v>
      </c>
      <c r="H51" s="13">
        <f t="shared" ca="1" si="7"/>
        <v>87</v>
      </c>
      <c r="I51" s="13">
        <f t="shared" ca="1" si="8"/>
        <v>86.57</v>
      </c>
      <c r="J51" s="10">
        <f t="shared" ca="1" si="9"/>
        <v>43762</v>
      </c>
      <c r="K51" s="11">
        <f t="shared" ca="1" si="10"/>
        <v>-0.7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2026-02-08T16:35:49Z</dcterms:created>
  <dcterms:modified xsi:type="dcterms:W3CDTF">2026-02-25T05:36:15Z</dcterms:modified>
</cp:coreProperties>
</file>