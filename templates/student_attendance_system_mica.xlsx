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F4D6AE51-ED54-4572-9650-EEBC4412E95B}" xr6:coauthVersionLast="47" xr6:coauthVersionMax="47" xr10:uidLastSave="{00000000-0000-0000-0000-000000000000}"/>
  <bookViews>
    <workbookView xWindow="15" yWindow="60" windowWidth="11760" windowHeight="10455" firstSheet="1" activeTab="2" xr2:uid="{C1245258-A512-4F7B-A4CD-FCA5DA4ADD4B}"/>
  </bookViews>
  <sheets>
    <sheet name="Calendar_View" sheetId="3" r:id="rId1"/>
    <sheet name="Summary" sheetId="2" r:id="rId2"/>
    <sheet name="Attendance_Track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" i="1" l="1"/>
  <c r="B30" i="2"/>
  <c r="B29" i="2"/>
  <c r="C27" i="2"/>
  <c r="B27" i="2"/>
  <c r="C26" i="2"/>
  <c r="B26" i="2"/>
  <c r="C25" i="2"/>
  <c r="B25" i="2"/>
  <c r="C24" i="2"/>
  <c r="B24" i="2"/>
  <c r="C23" i="2"/>
  <c r="B23" i="2"/>
  <c r="C19" i="2"/>
  <c r="B19" i="2"/>
  <c r="C18" i="2"/>
  <c r="B18" i="2"/>
  <c r="C17" i="2"/>
  <c r="B17" i="2"/>
  <c r="C16" i="2"/>
  <c r="B16" i="2"/>
  <c r="B12" i="2"/>
  <c r="B11" i="2"/>
  <c r="B10" i="2"/>
  <c r="B9" i="2"/>
  <c r="B8" i="2"/>
  <c r="B30" i="1"/>
  <c r="B29" i="1"/>
  <c r="B28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B18" i="1"/>
  <c r="B17" i="1"/>
  <c r="B16" i="1"/>
</calcChain>
</file>

<file path=xl/sharedStrings.xml><?xml version="1.0" encoding="utf-8"?>
<sst xmlns="http://schemas.openxmlformats.org/spreadsheetml/2006/main" count="257" uniqueCount="94">
  <si>
    <t>STUDENT ATTENDANCE TRACKER</t>
  </si>
  <si>
    <t>Class: Grade 10 - Section A</t>
  </si>
  <si>
    <t>Academic Year: 2024-2025</t>
  </si>
  <si>
    <t>Teacher: Mr. Johnson</t>
  </si>
  <si>
    <t>Term: Spring Semester</t>
  </si>
  <si>
    <t>Student Information</t>
  </si>
  <si>
    <t>Student ID</t>
  </si>
  <si>
    <t>Full Name</t>
  </si>
  <si>
    <t>Gender</t>
  </si>
  <si>
    <t>Date of Birth</t>
  </si>
  <si>
    <t>Contact Phone</t>
  </si>
  <si>
    <t>Parent/Guardian</t>
  </si>
  <si>
    <t>Emergency Contact</t>
  </si>
  <si>
    <t>Medical Notes</t>
  </si>
  <si>
    <t>Attendance Tracking (Mark 'P' for Present, 'A' for Absent, 'L' for Late, 'E' for Excused)</t>
  </si>
  <si>
    <t>John Smith</t>
  </si>
  <si>
    <t>M</t>
  </si>
  <si>
    <t>(555) 123-4567</t>
  </si>
  <si>
    <t>Mary Smith</t>
  </si>
  <si>
    <t>(555) 987-6543</t>
  </si>
  <si>
    <t>Allergies: Peanuts</t>
  </si>
  <si>
    <t>P</t>
  </si>
  <si>
    <t>A</t>
  </si>
  <si>
    <t>L</t>
  </si>
  <si>
    <t>E</t>
  </si>
  <si>
    <t>Emily Johnson</t>
  </si>
  <si>
    <t>F</t>
  </si>
  <si>
    <t>(555) 234-5678</t>
  </si>
  <si>
    <t>Robert Johnson</t>
  </si>
  <si>
    <t>(555) 876-5432</t>
  </si>
  <si>
    <t>None</t>
  </si>
  <si>
    <t>Michael Brown</t>
  </si>
  <si>
    <t>(555) 345-6789</t>
  </si>
  <si>
    <t>Lisa Brown</t>
  </si>
  <si>
    <t>(555) 765-4321</t>
  </si>
  <si>
    <t>Asthma</t>
  </si>
  <si>
    <t>Sarah Davis</t>
  </si>
  <si>
    <t>(555) 456-7890</t>
  </si>
  <si>
    <t>James Davis</t>
  </si>
  <si>
    <t>(555) 654-3210</t>
  </si>
  <si>
    <t>David Wilson</t>
  </si>
  <si>
    <t>(555) 567-8901</t>
  </si>
  <si>
    <t>Jennifer Wilson</t>
  </si>
  <si>
    <t>(555) 543-2109</t>
  </si>
  <si>
    <t>ATTENDANCE SUMMARY</t>
  </si>
  <si>
    <t>Total Students:</t>
  </si>
  <si>
    <t>Days in Month:</t>
  </si>
  <si>
    <t>Total Possible Attendance:</t>
  </si>
  <si>
    <t>Attendance Statistics</t>
  </si>
  <si>
    <t>Student</t>
  </si>
  <si>
    <t>Present Days</t>
  </si>
  <si>
    <t>Absent Days</t>
  </si>
  <si>
    <t>Late Days</t>
  </si>
  <si>
    <t>Excused Days</t>
  </si>
  <si>
    <t>Attendance %</t>
  </si>
  <si>
    <t>Class Average Attendance:</t>
  </si>
  <si>
    <t>Best Attendance:</t>
  </si>
  <si>
    <t>Lowest Attendance:</t>
  </si>
  <si>
    <t>LEGEND:</t>
  </si>
  <si>
    <t>P = Present</t>
  </si>
  <si>
    <t>A = Absent</t>
  </si>
  <si>
    <t>L = Late</t>
  </si>
  <si>
    <t>E = Excused</t>
  </si>
  <si>
    <t>ATTENDANCE SUMMARY REPORT</t>
  </si>
  <si>
    <t>Month: September 2024</t>
  </si>
  <si>
    <t>Overall Statistics</t>
  </si>
  <si>
    <t>Actual Present Days:</t>
  </si>
  <si>
    <t>Class Attendance Rate:</t>
  </si>
  <si>
    <t>Attendance by Status</t>
  </si>
  <si>
    <t>Status</t>
  </si>
  <si>
    <t>Count</t>
  </si>
  <si>
    <t>Percentage</t>
  </si>
  <si>
    <t>Present</t>
  </si>
  <si>
    <t>Absent</t>
  </si>
  <si>
    <t>Late</t>
  </si>
  <si>
    <t>Excused</t>
  </si>
  <si>
    <t>Student Performance Ranking</t>
  </si>
  <si>
    <t>Rank</t>
  </si>
  <si>
    <t>Student Name</t>
  </si>
  <si>
    <t>Best</t>
  </si>
  <si>
    <t>Needs Improvement</t>
  </si>
  <si>
    <t>Report Generated:</t>
  </si>
  <si>
    <t>Next Review Date:</t>
  </si>
  <si>
    <t>SEPTEMBER 2024 - ATTENDANCE CALENDAR</t>
  </si>
  <si>
    <t>Sun</t>
  </si>
  <si>
    <t>Mon</t>
  </si>
  <si>
    <t>Tue</t>
  </si>
  <si>
    <t>Wed</t>
  </si>
  <si>
    <t>Thu</t>
  </si>
  <si>
    <t>Fri</t>
  </si>
  <si>
    <t>Sat</t>
  </si>
  <si>
    <t>Instructions:</t>
  </si>
  <si>
    <t>This calendar shows daily attendance patterns.\nGreen = Good attendance day (≥80% present)\nYellow = Moderate attendance day (60-79% present)\nRed = Poor attendance day (&lt;60% present)</t>
  </si>
  <si>
    <t>Created by MINDLINK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</si>
</sst>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2E75B6"/>
      <name val="Calibri"/>
      <family val="2"/>
      <scheme val="minor"/>
    </font>
    <font>
      <b/>
      <sz val="20"/>
      <color rgb="FF2E75B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0" fillId="0" borderId="1" xfId="0" applyBorder="1"/>
    <xf numFmtId="14" fontId="0" fillId="0" borderId="1" xfId="0" applyNumberFormat="1" applyBorder="1"/>
    <xf numFmtId="10" fontId="0" fillId="0" borderId="1" xfId="0" applyNumberFormat="1" applyBorder="1"/>
    <xf numFmtId="0" fontId="1" fillId="2" borderId="1" xfId="0" applyFont="1" applyFill="1" applyBorder="1"/>
    <xf numFmtId="16" fontId="1" fillId="3" borderId="1" xfId="0" applyNumberFormat="1" applyFont="1" applyFill="1" applyBorder="1"/>
    <xf numFmtId="0" fontId="3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1" fillId="6" borderId="0" xfId="0" applyFont="1" applyFill="1"/>
    <xf numFmtId="0" fontId="4" fillId="0" borderId="0" xfId="0" applyFont="1"/>
    <xf numFmtId="0" fontId="1" fillId="5" borderId="0" xfId="0" applyFont="1" applyFill="1"/>
    <xf numFmtId="164" fontId="0" fillId="0" borderId="0" xfId="0" applyNumberFormat="1"/>
    <xf numFmtId="0" fontId="5" fillId="0" borderId="0" xfId="0" applyFont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C5AF-8DF2-41BF-AF0B-353619F6A8B3}">
  <dimension ref="A1:G13"/>
  <sheetViews>
    <sheetView topLeftCell="A7" workbookViewId="0">
      <selection activeCell="B12" sqref="B12"/>
    </sheetView>
  </sheetViews>
  <sheetFormatPr defaultRowHeight="15" x14ac:dyDescent="0.25"/>
  <cols>
    <col min="1" max="7" width="12.7109375" customWidth="1"/>
  </cols>
  <sheetData>
    <row r="1" spans="1:7" ht="26.25" x14ac:dyDescent="0.4">
      <c r="A1" s="16" t="s">
        <v>83</v>
      </c>
    </row>
    <row r="3" spans="1:7" x14ac:dyDescent="0.25">
      <c r="A3" s="17" t="s">
        <v>84</v>
      </c>
      <c r="B3" s="17" t="s">
        <v>85</v>
      </c>
      <c r="C3" s="17" t="s">
        <v>86</v>
      </c>
      <c r="D3" s="17" t="s">
        <v>87</v>
      </c>
      <c r="E3" s="17" t="s">
        <v>88</v>
      </c>
      <c r="F3" s="17" t="s">
        <v>89</v>
      </c>
      <c r="G3" s="17" t="s">
        <v>90</v>
      </c>
    </row>
    <row r="4" spans="1:7" ht="39.950000000000003" customHeight="1" x14ac:dyDescent="0.25">
      <c r="A4" s="18">
        <v>1</v>
      </c>
      <c r="B4" s="18">
        <v>2</v>
      </c>
      <c r="C4" s="18">
        <v>3</v>
      </c>
      <c r="D4" s="18">
        <v>4</v>
      </c>
      <c r="E4" s="18">
        <v>5</v>
      </c>
      <c r="F4" s="18">
        <v>6</v>
      </c>
      <c r="G4" s="18">
        <v>7</v>
      </c>
    </row>
    <row r="5" spans="1:7" ht="39.950000000000003" customHeight="1" x14ac:dyDescent="0.25">
      <c r="A5" s="18">
        <v>8</v>
      </c>
      <c r="B5" s="18">
        <v>9</v>
      </c>
      <c r="C5" s="18">
        <v>10</v>
      </c>
      <c r="D5" s="18">
        <v>11</v>
      </c>
      <c r="E5" s="18">
        <v>12</v>
      </c>
      <c r="F5" s="18">
        <v>13</v>
      </c>
      <c r="G5" s="18">
        <v>14</v>
      </c>
    </row>
    <row r="6" spans="1:7" ht="39.950000000000003" customHeight="1" x14ac:dyDescent="0.25">
      <c r="A6" s="18">
        <v>15</v>
      </c>
      <c r="B6" s="18">
        <v>16</v>
      </c>
      <c r="C6" s="18">
        <v>17</v>
      </c>
      <c r="D6" s="18">
        <v>18</v>
      </c>
      <c r="E6" s="18">
        <v>19</v>
      </c>
      <c r="F6" s="18">
        <v>20</v>
      </c>
      <c r="G6" s="18">
        <v>21</v>
      </c>
    </row>
    <row r="7" spans="1:7" ht="39.950000000000003" customHeight="1" x14ac:dyDescent="0.25">
      <c r="A7" s="18">
        <v>22</v>
      </c>
      <c r="B7" s="18">
        <v>23</v>
      </c>
      <c r="C7" s="18">
        <v>24</v>
      </c>
      <c r="D7" s="18">
        <v>25</v>
      </c>
      <c r="E7" s="18">
        <v>26</v>
      </c>
      <c r="F7" s="18">
        <v>27</v>
      </c>
      <c r="G7" s="18">
        <v>28</v>
      </c>
    </row>
    <row r="8" spans="1:7" ht="39.950000000000003" customHeight="1" x14ac:dyDescent="0.25">
      <c r="A8" s="18">
        <v>29</v>
      </c>
      <c r="B8" s="18">
        <v>30</v>
      </c>
      <c r="C8" s="18"/>
      <c r="D8" s="18"/>
      <c r="E8" s="18"/>
      <c r="F8" s="18"/>
      <c r="G8" s="18"/>
    </row>
    <row r="10" spans="1:7" x14ac:dyDescent="0.25">
      <c r="C10" s="12" t="s">
        <v>58</v>
      </c>
      <c r="D10" s="19" t="s">
        <v>59</v>
      </c>
      <c r="E10" s="19" t="s">
        <v>60</v>
      </c>
      <c r="F10" s="19" t="s">
        <v>61</v>
      </c>
      <c r="G10" s="19" t="s">
        <v>62</v>
      </c>
    </row>
    <row r="12" spans="1:7" ht="255" x14ac:dyDescent="0.25">
      <c r="A12" s="20" t="s">
        <v>91</v>
      </c>
      <c r="B12" s="22" t="s">
        <v>92</v>
      </c>
      <c r="C12" s="21"/>
      <c r="D12" s="21"/>
      <c r="E12" s="21"/>
      <c r="F12" s="21"/>
      <c r="G12" s="21"/>
    </row>
    <row r="13" spans="1:7" x14ac:dyDescent="0.25">
      <c r="A13" s="21"/>
      <c r="B13" s="21"/>
      <c r="C13" s="21"/>
      <c r="D13" s="21"/>
      <c r="E13" s="21"/>
      <c r="F13" s="21"/>
      <c r="G13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E462-48C5-44CA-B9B2-74A3EA8CAC2B}">
  <dimension ref="A1:D30"/>
  <sheetViews>
    <sheetView topLeftCell="A11" workbookViewId="0">
      <selection activeCell="A29" sqref="A29:A30"/>
    </sheetView>
  </sheetViews>
  <sheetFormatPr defaultRowHeight="15" x14ac:dyDescent="0.25"/>
  <cols>
    <col min="1" max="1" width="25.7109375" customWidth="1"/>
    <col min="2" max="2" width="20.7109375" customWidth="1"/>
    <col min="3" max="3" width="15.7109375" customWidth="1"/>
    <col min="4" max="4" width="20.7109375" customWidth="1"/>
  </cols>
  <sheetData>
    <row r="1" spans="1:3" ht="23.25" x14ac:dyDescent="0.35">
      <c r="A1" s="13" t="s">
        <v>63</v>
      </c>
    </row>
    <row r="3" spans="1:3" x14ac:dyDescent="0.25">
      <c r="A3" s="1" t="s">
        <v>1</v>
      </c>
    </row>
    <row r="4" spans="1:3" x14ac:dyDescent="0.25">
      <c r="A4" s="1" t="s">
        <v>64</v>
      </c>
    </row>
    <row r="5" spans="1:3" x14ac:dyDescent="0.25">
      <c r="A5" s="1" t="s">
        <v>3</v>
      </c>
    </row>
    <row r="7" spans="1:3" x14ac:dyDescent="0.25">
      <c r="A7" s="9" t="s">
        <v>65</v>
      </c>
      <c r="B7" s="10"/>
    </row>
    <row r="8" spans="1:3" x14ac:dyDescent="0.25">
      <c r="A8" s="1" t="s">
        <v>45</v>
      </c>
      <c r="B8">
        <f>Attendance_Tracker!B16</f>
        <v>5</v>
      </c>
    </row>
    <row r="9" spans="1:3" x14ac:dyDescent="0.25">
      <c r="A9" s="1" t="s">
        <v>46</v>
      </c>
      <c r="B9">
        <f>Attendance_Tracker!B17</f>
        <v>30</v>
      </c>
    </row>
    <row r="10" spans="1:3" x14ac:dyDescent="0.25">
      <c r="A10" s="1" t="s">
        <v>47</v>
      </c>
      <c r="B10">
        <f>Attendance_Tracker!B18</f>
        <v>150</v>
      </c>
    </row>
    <row r="11" spans="1:3" x14ac:dyDescent="0.25">
      <c r="A11" s="1" t="s">
        <v>66</v>
      </c>
      <c r="B11">
        <f>SUM(Attendance_Tracker!B22:B26)</f>
        <v>145</v>
      </c>
    </row>
    <row r="12" spans="1:3" x14ac:dyDescent="0.25">
      <c r="A12" s="1" t="s">
        <v>67</v>
      </c>
      <c r="B12" s="3">
        <f>B11/B10</f>
        <v>0.96666666666666667</v>
      </c>
    </row>
    <row r="14" spans="1:3" x14ac:dyDescent="0.25">
      <c r="A14" s="9" t="s">
        <v>68</v>
      </c>
      <c r="B14" s="10"/>
      <c r="C14" s="10"/>
    </row>
    <row r="15" spans="1:3" x14ac:dyDescent="0.25">
      <c r="A15" s="14" t="s">
        <v>69</v>
      </c>
      <c r="B15" s="14" t="s">
        <v>70</v>
      </c>
      <c r="C15" s="14" t="s">
        <v>71</v>
      </c>
    </row>
    <row r="16" spans="1:3" x14ac:dyDescent="0.25">
      <c r="A16" t="s">
        <v>72</v>
      </c>
      <c r="B16">
        <f>SUM(Attendance_Tracker!B22:B26)</f>
        <v>145</v>
      </c>
      <c r="C16" s="3">
        <f>B16/$B$10</f>
        <v>0.96666666666666667</v>
      </c>
    </row>
    <row r="17" spans="1:4" x14ac:dyDescent="0.25">
      <c r="A17" t="s">
        <v>73</v>
      </c>
      <c r="B17">
        <f>SUM(Attendance_Tracker!C22:C26)</f>
        <v>2</v>
      </c>
      <c r="C17" s="3">
        <f>B17/$B$10</f>
        <v>1.3333333333333334E-2</v>
      </c>
    </row>
    <row r="18" spans="1:4" x14ac:dyDescent="0.25">
      <c r="A18" t="s">
        <v>74</v>
      </c>
      <c r="B18">
        <f>SUM(Attendance_Tracker!D22:D26)</f>
        <v>2</v>
      </c>
      <c r="C18" s="3">
        <f>B18/$B$10</f>
        <v>1.3333333333333334E-2</v>
      </c>
    </row>
    <row r="19" spans="1:4" x14ac:dyDescent="0.25">
      <c r="A19" t="s">
        <v>75</v>
      </c>
      <c r="B19">
        <f>SUM(Attendance_Tracker!E22:E26)</f>
        <v>1</v>
      </c>
      <c r="C19" s="3">
        <f>B19/$B$10</f>
        <v>6.6666666666666671E-3</v>
      </c>
    </row>
    <row r="21" spans="1:4" x14ac:dyDescent="0.25">
      <c r="A21" s="9" t="s">
        <v>76</v>
      </c>
      <c r="B21" s="10"/>
      <c r="C21" s="10"/>
      <c r="D21" s="10"/>
    </row>
    <row r="22" spans="1:4" x14ac:dyDescent="0.25">
      <c r="A22" s="14" t="s">
        <v>77</v>
      </c>
      <c r="B22" s="14" t="s">
        <v>78</v>
      </c>
      <c r="C22" s="14" t="s">
        <v>54</v>
      </c>
      <c r="D22" s="14" t="s">
        <v>69</v>
      </c>
    </row>
    <row r="23" spans="1:4" x14ac:dyDescent="0.25">
      <c r="A23">
        <v>1</v>
      </c>
      <c r="B23" t="str">
        <f>INDEX(Attendance_Tracker!A22:A26,MATCH(MAX(Attendance_Tracker!F22:F26),Attendance_Tracker!F22:F26,0))</f>
        <v>Emily Johnson</v>
      </c>
      <c r="C23" s="3">
        <f>MAX(Attendance_Tracker!F22:F26)</f>
        <v>1</v>
      </c>
      <c r="D23" t="s">
        <v>79</v>
      </c>
    </row>
    <row r="24" spans="1:4" x14ac:dyDescent="0.25">
      <c r="A24">
        <v>2</v>
      </c>
      <c r="B24" t="str">
        <f>INDEX(Attendance_Tracker!A22:A26,MATCH(LARGE(Attendance_Tracker!F22:F26,2),Attendance_Tracker!F22:F26,0))</f>
        <v>Emily Johnson</v>
      </c>
      <c r="C24" s="3">
        <f>LARGE(Attendance_Tracker!F22:F26,2)</f>
        <v>1</v>
      </c>
    </row>
    <row r="25" spans="1:4" x14ac:dyDescent="0.25">
      <c r="A25">
        <v>3</v>
      </c>
      <c r="B25" t="str">
        <f>INDEX(Attendance_Tracker!A22:A26,MATCH(LARGE(Attendance_Tracker!F22:F26,3),Attendance_Tracker!F22:F26,0))</f>
        <v>Emily Johnson</v>
      </c>
      <c r="C25" s="3">
        <f>LARGE(Attendance_Tracker!F22:F26,3)</f>
        <v>1</v>
      </c>
    </row>
    <row r="26" spans="1:4" x14ac:dyDescent="0.25">
      <c r="A26">
        <v>4</v>
      </c>
      <c r="B26" t="str">
        <f>INDEX(Attendance_Tracker!A22:A26,MATCH(LARGE(Attendance_Tracker!F22:F26,4),Attendance_Tracker!F22:F26,0))</f>
        <v>Emily Johnson</v>
      </c>
      <c r="C26" s="3">
        <f>LARGE(Attendance_Tracker!F22:F26,4)</f>
        <v>1</v>
      </c>
    </row>
    <row r="27" spans="1:4" x14ac:dyDescent="0.25">
      <c r="A27">
        <v>5</v>
      </c>
      <c r="B27" t="str">
        <f>INDEX(Attendance_Tracker!A22:A26,MATCH(MIN(Attendance_Tracker!F22:F26),Attendance_Tracker!F22:F26,0))</f>
        <v>John Smith</v>
      </c>
      <c r="C27" s="3">
        <f>MIN(Attendance_Tracker!F22:F26)</f>
        <v>0.83333333333333337</v>
      </c>
      <c r="D27" t="s">
        <v>80</v>
      </c>
    </row>
    <row r="29" spans="1:4" x14ac:dyDescent="0.25">
      <c r="A29" s="1" t="s">
        <v>81</v>
      </c>
      <c r="B29" s="15">
        <f ca="1">TODAY()</f>
        <v>46062</v>
      </c>
    </row>
    <row r="30" spans="1:4" x14ac:dyDescent="0.25">
      <c r="A30" s="1" t="s">
        <v>82</v>
      </c>
      <c r="B30" s="15">
        <f ca="1">EOMONTH(TODAY(),1)</f>
        <v>46112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E8C-0AB7-4B7D-A1D2-42EB2363DF14}">
  <dimension ref="A1:AM32"/>
  <sheetViews>
    <sheetView tabSelected="1" topLeftCell="AC1" workbookViewId="0">
      <selection activeCell="AM1" sqref="AM1:AM2"/>
    </sheetView>
  </sheetViews>
  <sheetFormatPr defaultRowHeight="15" x14ac:dyDescent="0.25"/>
  <cols>
    <col min="1" max="1" width="10.7109375" customWidth="1"/>
    <col min="2" max="2" width="20.7109375" customWidth="1"/>
    <col min="3" max="3" width="8.7109375" customWidth="1"/>
    <col min="4" max="4" width="12.7109375" customWidth="1"/>
    <col min="5" max="5" width="15.7109375" customWidth="1"/>
    <col min="6" max="7" width="18.7109375" customWidth="1"/>
    <col min="8" max="8" width="20.7109375" customWidth="1"/>
    <col min="9" max="38" width="4.7109375" customWidth="1"/>
  </cols>
  <sheetData>
    <row r="1" spans="1:39" ht="2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t="s">
        <v>93</v>
      </c>
    </row>
    <row r="2" spans="1:39" x14ac:dyDescent="0.25">
      <c r="A2" s="1" t="s">
        <v>1</v>
      </c>
      <c r="AM2" s="23" t="str">
        <f>HYPERLINK("https://mica.mindlink.tools", "Copyright © 2025 MICA")</f>
        <v>Copyright © 2025 MICA</v>
      </c>
    </row>
    <row r="3" spans="1:39" x14ac:dyDescent="0.25">
      <c r="A3" s="1" t="s">
        <v>2</v>
      </c>
    </row>
    <row r="4" spans="1:39" x14ac:dyDescent="0.25">
      <c r="A4" s="1" t="s">
        <v>3</v>
      </c>
    </row>
    <row r="5" spans="1:39" x14ac:dyDescent="0.25">
      <c r="A5" s="1" t="s">
        <v>4</v>
      </c>
    </row>
    <row r="7" spans="1:39" x14ac:dyDescent="0.25">
      <c r="A7" s="1" t="s">
        <v>5</v>
      </c>
      <c r="B7" s="1"/>
      <c r="C7" s="1"/>
      <c r="D7" s="1"/>
      <c r="E7" s="1"/>
      <c r="F7" s="1"/>
      <c r="G7" s="1"/>
      <c r="H7" s="1"/>
      <c r="I7" s="1" t="s">
        <v>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9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8">
        <v>46266</v>
      </c>
      <c r="J8" s="8">
        <v>46267</v>
      </c>
      <c r="K8" s="8">
        <v>46268</v>
      </c>
      <c r="L8" s="8">
        <v>46269</v>
      </c>
      <c r="M8" s="8">
        <v>46270</v>
      </c>
      <c r="N8" s="8">
        <v>46271</v>
      </c>
      <c r="O8" s="8">
        <v>46272</v>
      </c>
      <c r="P8" s="8">
        <v>46273</v>
      </c>
      <c r="Q8" s="8">
        <v>46274</v>
      </c>
      <c r="R8" s="8">
        <v>46275</v>
      </c>
      <c r="S8" s="8">
        <v>46276</v>
      </c>
      <c r="T8" s="8">
        <v>46277</v>
      </c>
      <c r="U8" s="8">
        <v>46278</v>
      </c>
      <c r="V8" s="8">
        <v>46279</v>
      </c>
      <c r="W8" s="8">
        <v>46280</v>
      </c>
      <c r="X8" s="8">
        <v>46281</v>
      </c>
      <c r="Y8" s="8">
        <v>46282</v>
      </c>
      <c r="Z8" s="8">
        <v>46283</v>
      </c>
      <c r="AA8" s="8">
        <v>46284</v>
      </c>
      <c r="AB8" s="8">
        <v>46285</v>
      </c>
      <c r="AC8" s="8">
        <v>46286</v>
      </c>
      <c r="AD8" s="8">
        <v>46287</v>
      </c>
      <c r="AE8" s="8">
        <v>46288</v>
      </c>
      <c r="AF8" s="8">
        <v>46289</v>
      </c>
      <c r="AG8" s="8">
        <v>46290</v>
      </c>
      <c r="AH8" s="8">
        <v>46291</v>
      </c>
      <c r="AI8" s="8">
        <v>46292</v>
      </c>
      <c r="AJ8" s="8">
        <v>46293</v>
      </c>
      <c r="AK8" s="8">
        <v>46294</v>
      </c>
      <c r="AL8" s="8">
        <v>46295</v>
      </c>
    </row>
    <row r="9" spans="1:39" x14ac:dyDescent="0.25">
      <c r="A9" s="4">
        <v>1001</v>
      </c>
      <c r="B9" s="4" t="s">
        <v>15</v>
      </c>
      <c r="C9" s="4" t="s">
        <v>16</v>
      </c>
      <c r="D9" s="5">
        <v>39522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21</v>
      </c>
      <c r="K9" s="4" t="s">
        <v>22</v>
      </c>
      <c r="L9" s="4" t="s">
        <v>21</v>
      </c>
      <c r="M9" s="4" t="s">
        <v>21</v>
      </c>
      <c r="N9" s="4" t="s">
        <v>23</v>
      </c>
      <c r="O9" s="4" t="s">
        <v>21</v>
      </c>
      <c r="P9" s="4" t="s">
        <v>21</v>
      </c>
      <c r="Q9" s="4" t="s">
        <v>24</v>
      </c>
      <c r="R9" s="4" t="s">
        <v>21</v>
      </c>
      <c r="S9" s="4" t="s">
        <v>21</v>
      </c>
      <c r="T9" s="4" t="s">
        <v>21</v>
      </c>
      <c r="U9" s="4" t="s">
        <v>21</v>
      </c>
      <c r="V9" s="4" t="s">
        <v>21</v>
      </c>
      <c r="W9" s="4" t="s">
        <v>22</v>
      </c>
      <c r="X9" s="4" t="s">
        <v>21</v>
      </c>
      <c r="Y9" s="4" t="s">
        <v>21</v>
      </c>
      <c r="Z9" s="4" t="s">
        <v>21</v>
      </c>
      <c r="AA9" s="4" t="s">
        <v>21</v>
      </c>
      <c r="AB9" s="4" t="s">
        <v>21</v>
      </c>
      <c r="AC9" s="4" t="s">
        <v>21</v>
      </c>
      <c r="AD9" s="4" t="s">
        <v>21</v>
      </c>
      <c r="AE9" s="4" t="s">
        <v>23</v>
      </c>
      <c r="AF9" s="4" t="s">
        <v>21</v>
      </c>
      <c r="AG9" s="4" t="s">
        <v>21</v>
      </c>
      <c r="AH9" s="4" t="s">
        <v>21</v>
      </c>
      <c r="AI9" s="4" t="s">
        <v>21</v>
      </c>
      <c r="AJ9" s="4" t="s">
        <v>21</v>
      </c>
      <c r="AK9" s="4" t="s">
        <v>21</v>
      </c>
      <c r="AL9" s="4" t="s">
        <v>21</v>
      </c>
    </row>
    <row r="10" spans="1:39" x14ac:dyDescent="0.25">
      <c r="A10" s="4">
        <v>1002</v>
      </c>
      <c r="B10" s="4" t="s">
        <v>25</v>
      </c>
      <c r="C10" s="4" t="s">
        <v>26</v>
      </c>
      <c r="D10" s="5">
        <v>39651</v>
      </c>
      <c r="E10" s="4" t="s">
        <v>27</v>
      </c>
      <c r="F10" s="4" t="s">
        <v>28</v>
      </c>
      <c r="G10" s="4" t="s">
        <v>29</v>
      </c>
      <c r="H10" s="4" t="s">
        <v>30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 t="s">
        <v>21</v>
      </c>
      <c r="Q10" s="4" t="s">
        <v>21</v>
      </c>
      <c r="R10" s="4" t="s">
        <v>21</v>
      </c>
      <c r="S10" s="4" t="s">
        <v>21</v>
      </c>
      <c r="T10" s="4" t="s">
        <v>21</v>
      </c>
      <c r="U10" s="4" t="s">
        <v>21</v>
      </c>
      <c r="V10" s="4" t="s">
        <v>21</v>
      </c>
      <c r="W10" s="4" t="s">
        <v>21</v>
      </c>
      <c r="X10" s="4" t="s">
        <v>21</v>
      </c>
      <c r="Y10" s="4" t="s">
        <v>21</v>
      </c>
      <c r="Z10" s="4" t="s">
        <v>21</v>
      </c>
      <c r="AA10" s="4" t="s">
        <v>21</v>
      </c>
      <c r="AB10" s="4" t="s">
        <v>21</v>
      </c>
      <c r="AC10" s="4" t="s">
        <v>21</v>
      </c>
      <c r="AD10" s="4" t="s">
        <v>21</v>
      </c>
      <c r="AE10" s="4" t="s">
        <v>21</v>
      </c>
      <c r="AF10" s="4" t="s">
        <v>21</v>
      </c>
      <c r="AG10" s="4" t="s">
        <v>21</v>
      </c>
      <c r="AH10" s="4" t="s">
        <v>21</v>
      </c>
      <c r="AI10" s="4" t="s">
        <v>21</v>
      </c>
      <c r="AJ10" s="4" t="s">
        <v>21</v>
      </c>
      <c r="AK10" s="4" t="s">
        <v>21</v>
      </c>
      <c r="AL10" s="4" t="s">
        <v>21</v>
      </c>
    </row>
    <row r="11" spans="1:39" x14ac:dyDescent="0.25">
      <c r="A11" s="4">
        <v>1003</v>
      </c>
      <c r="B11" s="4" t="s">
        <v>31</v>
      </c>
      <c r="C11" s="4" t="s">
        <v>16</v>
      </c>
      <c r="D11" s="5">
        <v>39416</v>
      </c>
      <c r="E11" s="4" t="s">
        <v>32</v>
      </c>
      <c r="F11" s="4" t="s">
        <v>33</v>
      </c>
      <c r="G11" s="4" t="s">
        <v>34</v>
      </c>
      <c r="H11" s="4" t="s">
        <v>35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4" t="s">
        <v>21</v>
      </c>
      <c r="Q11" s="4" t="s">
        <v>21</v>
      </c>
      <c r="R11" s="4" t="s">
        <v>21</v>
      </c>
      <c r="S11" s="4" t="s">
        <v>21</v>
      </c>
      <c r="T11" s="4" t="s">
        <v>21</v>
      </c>
      <c r="U11" s="4" t="s">
        <v>21</v>
      </c>
      <c r="V11" s="4" t="s">
        <v>21</v>
      </c>
      <c r="W11" s="4" t="s">
        <v>21</v>
      </c>
      <c r="X11" s="4" t="s">
        <v>21</v>
      </c>
      <c r="Y11" s="4" t="s">
        <v>21</v>
      </c>
      <c r="Z11" s="4" t="s">
        <v>21</v>
      </c>
      <c r="AA11" s="4" t="s">
        <v>21</v>
      </c>
      <c r="AB11" s="4" t="s">
        <v>21</v>
      </c>
      <c r="AC11" s="4" t="s">
        <v>21</v>
      </c>
      <c r="AD11" s="4" t="s">
        <v>21</v>
      </c>
      <c r="AE11" s="4" t="s">
        <v>21</v>
      </c>
      <c r="AF11" s="4" t="s">
        <v>21</v>
      </c>
      <c r="AG11" s="4" t="s">
        <v>21</v>
      </c>
      <c r="AH11" s="4" t="s">
        <v>21</v>
      </c>
      <c r="AI11" s="4" t="s">
        <v>21</v>
      </c>
      <c r="AJ11" s="4" t="s">
        <v>21</v>
      </c>
      <c r="AK11" s="4" t="s">
        <v>21</v>
      </c>
      <c r="AL11" s="4" t="s">
        <v>21</v>
      </c>
    </row>
    <row r="12" spans="1:39" x14ac:dyDescent="0.25">
      <c r="A12" s="4">
        <v>1004</v>
      </c>
      <c r="B12" s="4" t="s">
        <v>36</v>
      </c>
      <c r="C12" s="4" t="s">
        <v>26</v>
      </c>
      <c r="D12" s="5">
        <v>39465</v>
      </c>
      <c r="E12" s="4" t="s">
        <v>37</v>
      </c>
      <c r="F12" s="4" t="s">
        <v>38</v>
      </c>
      <c r="G12" s="4" t="s">
        <v>39</v>
      </c>
      <c r="H12" s="4" t="s">
        <v>30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  <c r="P12" s="4" t="s">
        <v>21</v>
      </c>
      <c r="Q12" s="4" t="s">
        <v>21</v>
      </c>
      <c r="R12" s="4" t="s">
        <v>21</v>
      </c>
      <c r="S12" s="4" t="s">
        <v>21</v>
      </c>
      <c r="T12" s="4" t="s">
        <v>21</v>
      </c>
      <c r="U12" s="4" t="s">
        <v>21</v>
      </c>
      <c r="V12" s="4" t="s">
        <v>21</v>
      </c>
      <c r="W12" s="4" t="s">
        <v>21</v>
      </c>
      <c r="X12" s="4" t="s">
        <v>21</v>
      </c>
      <c r="Y12" s="4" t="s">
        <v>21</v>
      </c>
      <c r="Z12" s="4" t="s">
        <v>21</v>
      </c>
      <c r="AA12" s="4" t="s">
        <v>21</v>
      </c>
      <c r="AB12" s="4" t="s">
        <v>21</v>
      </c>
      <c r="AC12" s="4" t="s">
        <v>21</v>
      </c>
      <c r="AD12" s="4" t="s">
        <v>21</v>
      </c>
      <c r="AE12" s="4" t="s">
        <v>21</v>
      </c>
      <c r="AF12" s="4" t="s">
        <v>21</v>
      </c>
      <c r="AG12" s="4" t="s">
        <v>21</v>
      </c>
      <c r="AH12" s="4" t="s">
        <v>21</v>
      </c>
      <c r="AI12" s="4" t="s">
        <v>21</v>
      </c>
      <c r="AJ12" s="4" t="s">
        <v>21</v>
      </c>
      <c r="AK12" s="4" t="s">
        <v>21</v>
      </c>
      <c r="AL12" s="4" t="s">
        <v>21</v>
      </c>
    </row>
    <row r="13" spans="1:39" x14ac:dyDescent="0.25">
      <c r="A13" s="4">
        <v>1005</v>
      </c>
      <c r="B13" s="4" t="s">
        <v>40</v>
      </c>
      <c r="C13" s="4" t="s">
        <v>16</v>
      </c>
      <c r="D13" s="5">
        <v>39577</v>
      </c>
      <c r="E13" s="4" t="s">
        <v>41</v>
      </c>
      <c r="F13" s="4" t="s">
        <v>42</v>
      </c>
      <c r="G13" s="4" t="s">
        <v>43</v>
      </c>
      <c r="H13" s="4" t="s">
        <v>30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21</v>
      </c>
      <c r="O13" s="4" t="s">
        <v>21</v>
      </c>
      <c r="P13" s="4" t="s">
        <v>21</v>
      </c>
      <c r="Q13" s="4" t="s">
        <v>21</v>
      </c>
      <c r="R13" s="4" t="s">
        <v>21</v>
      </c>
      <c r="S13" s="4" t="s">
        <v>21</v>
      </c>
      <c r="T13" s="4" t="s">
        <v>21</v>
      </c>
      <c r="U13" s="4" t="s">
        <v>21</v>
      </c>
      <c r="V13" s="4" t="s">
        <v>21</v>
      </c>
      <c r="W13" s="4" t="s">
        <v>21</v>
      </c>
      <c r="X13" s="4" t="s">
        <v>21</v>
      </c>
      <c r="Y13" s="4" t="s">
        <v>21</v>
      </c>
      <c r="Z13" s="4" t="s">
        <v>21</v>
      </c>
      <c r="AA13" s="4" t="s">
        <v>21</v>
      </c>
      <c r="AB13" s="4" t="s">
        <v>21</v>
      </c>
      <c r="AC13" s="4" t="s">
        <v>21</v>
      </c>
      <c r="AD13" s="4" t="s">
        <v>21</v>
      </c>
      <c r="AE13" s="4" t="s">
        <v>21</v>
      </c>
      <c r="AF13" s="4" t="s">
        <v>21</v>
      </c>
      <c r="AG13" s="4" t="s">
        <v>21</v>
      </c>
      <c r="AH13" s="4" t="s">
        <v>21</v>
      </c>
      <c r="AI13" s="4" t="s">
        <v>21</v>
      </c>
      <c r="AJ13" s="4" t="s">
        <v>21</v>
      </c>
      <c r="AK13" s="4" t="s">
        <v>21</v>
      </c>
      <c r="AL13" s="4" t="s">
        <v>21</v>
      </c>
    </row>
    <row r="15" spans="1:39" x14ac:dyDescent="0.25">
      <c r="A15" s="9" t="s">
        <v>44</v>
      </c>
      <c r="B15" s="10"/>
      <c r="C15" s="10"/>
      <c r="D15" s="10"/>
      <c r="E15" s="10"/>
    </row>
    <row r="16" spans="1:39" x14ac:dyDescent="0.25">
      <c r="A16" t="s">
        <v>45</v>
      </c>
      <c r="B16">
        <f>COUNTA(A9:A13)</f>
        <v>5</v>
      </c>
    </row>
    <row r="17" spans="1:6" x14ac:dyDescent="0.25">
      <c r="A17" t="s">
        <v>46</v>
      </c>
      <c r="B17">
        <f>COUNTA(I8:AL8)</f>
        <v>30</v>
      </c>
    </row>
    <row r="18" spans="1:6" x14ac:dyDescent="0.25">
      <c r="A18" t="s">
        <v>47</v>
      </c>
      <c r="B18">
        <f>B16*B17</f>
        <v>150</v>
      </c>
    </row>
    <row r="20" spans="1:6" x14ac:dyDescent="0.25">
      <c r="A20" s="9" t="s">
        <v>48</v>
      </c>
      <c r="B20" s="10"/>
      <c r="C20" s="10"/>
      <c r="D20" s="10"/>
      <c r="E20" s="10"/>
    </row>
    <row r="21" spans="1:6" x14ac:dyDescent="0.25">
      <c r="A21" s="11" t="s">
        <v>49</v>
      </c>
      <c r="B21" s="11" t="s">
        <v>50</v>
      </c>
      <c r="C21" s="11" t="s">
        <v>51</v>
      </c>
      <c r="D21" s="11" t="s">
        <v>52</v>
      </c>
      <c r="E21" s="11" t="s">
        <v>53</v>
      </c>
      <c r="F21" s="11" t="s">
        <v>54</v>
      </c>
    </row>
    <row r="22" spans="1:6" x14ac:dyDescent="0.25">
      <c r="A22" s="4" t="str">
        <f>B9</f>
        <v>John Smith</v>
      </c>
      <c r="B22" s="4">
        <f>COUNTIF(I9:AL9,"P")</f>
        <v>25</v>
      </c>
      <c r="C22" s="4">
        <f>COUNTIF(I9:AL9,"A")</f>
        <v>2</v>
      </c>
      <c r="D22" s="4">
        <f>COUNTIF(I9:AL9,"L")</f>
        <v>2</v>
      </c>
      <c r="E22" s="4">
        <f>COUNTIF(I9:AL9,"E")</f>
        <v>1</v>
      </c>
      <c r="F22" s="6">
        <f>B22/$B$17</f>
        <v>0.83333333333333337</v>
      </c>
    </row>
    <row r="23" spans="1:6" x14ac:dyDescent="0.25">
      <c r="A23" s="4" t="str">
        <f>B10</f>
        <v>Emily Johnson</v>
      </c>
      <c r="B23" s="4">
        <f>COUNTIF(I10:AL10,"P")</f>
        <v>30</v>
      </c>
      <c r="C23" s="4">
        <f>COUNTIF(I10:AL10,"A")</f>
        <v>0</v>
      </c>
      <c r="D23" s="4">
        <f>COUNTIF(I10:AL10,"L")</f>
        <v>0</v>
      </c>
      <c r="E23" s="4">
        <f>COUNTIF(I10:AL10,"E")</f>
        <v>0</v>
      </c>
      <c r="F23" s="6">
        <f>B23/$B$17</f>
        <v>1</v>
      </c>
    </row>
    <row r="24" spans="1:6" x14ac:dyDescent="0.25">
      <c r="A24" s="4" t="str">
        <f>B11</f>
        <v>Michael Brown</v>
      </c>
      <c r="B24" s="4">
        <f>COUNTIF(I11:AL11,"P")</f>
        <v>30</v>
      </c>
      <c r="C24" s="4">
        <f>COUNTIF(I11:AL11,"A")</f>
        <v>0</v>
      </c>
      <c r="D24" s="4">
        <f>COUNTIF(I11:AL11,"L")</f>
        <v>0</v>
      </c>
      <c r="E24" s="4">
        <f>COUNTIF(I11:AL11,"E")</f>
        <v>0</v>
      </c>
      <c r="F24" s="6">
        <f>B24/$B$17</f>
        <v>1</v>
      </c>
    </row>
    <row r="25" spans="1:6" x14ac:dyDescent="0.25">
      <c r="A25" s="4" t="str">
        <f>B12</f>
        <v>Sarah Davis</v>
      </c>
      <c r="B25" s="4">
        <f>COUNTIF(I12:AL12,"P")</f>
        <v>30</v>
      </c>
      <c r="C25" s="4">
        <f>COUNTIF(I12:AL12,"A")</f>
        <v>0</v>
      </c>
      <c r="D25" s="4">
        <f>COUNTIF(I12:AL12,"L")</f>
        <v>0</v>
      </c>
      <c r="E25" s="4">
        <f>COUNTIF(I12:AL12,"E")</f>
        <v>0</v>
      </c>
      <c r="F25" s="6">
        <f>B25/$B$17</f>
        <v>1</v>
      </c>
    </row>
    <row r="26" spans="1:6" x14ac:dyDescent="0.25">
      <c r="A26" s="4" t="str">
        <f>B13</f>
        <v>David Wilson</v>
      </c>
      <c r="B26" s="4">
        <f>COUNTIF(I13:AL13,"P")</f>
        <v>30</v>
      </c>
      <c r="C26" s="4">
        <f>COUNTIF(I13:AL13,"A")</f>
        <v>0</v>
      </c>
      <c r="D26" s="4">
        <f>COUNTIF(I13:AL13,"L")</f>
        <v>0</v>
      </c>
      <c r="E26" s="4">
        <f>COUNTIF(I13:AL13,"E")</f>
        <v>0</v>
      </c>
      <c r="F26" s="6">
        <f>B26/$B$17</f>
        <v>1</v>
      </c>
    </row>
    <row r="27" spans="1:6" x14ac:dyDescent="0.25">
      <c r="F27" s="3"/>
    </row>
    <row r="28" spans="1:6" x14ac:dyDescent="0.25">
      <c r="A28" t="s">
        <v>55</v>
      </c>
      <c r="B28" s="3">
        <f>AVERAGE(F22:F26)</f>
        <v>0.96666666666666679</v>
      </c>
      <c r="F28" s="3"/>
    </row>
    <row r="29" spans="1:6" x14ac:dyDescent="0.25">
      <c r="A29" t="s">
        <v>56</v>
      </c>
      <c r="B29" s="3">
        <f>MAX(F22:F26)</f>
        <v>1</v>
      </c>
      <c r="F29" s="3"/>
    </row>
    <row r="30" spans="1:6" x14ac:dyDescent="0.25">
      <c r="A30" t="s">
        <v>57</v>
      </c>
      <c r="B30" s="3">
        <f>MIN(F22:F26)</f>
        <v>0.83333333333333337</v>
      </c>
      <c r="F30" s="3"/>
    </row>
    <row r="32" spans="1:6" x14ac:dyDescent="0.25">
      <c r="A32" s="12" t="s">
        <v>58</v>
      </c>
      <c r="B32" s="12" t="s">
        <v>59</v>
      </c>
      <c r="C32" s="12" t="s">
        <v>60</v>
      </c>
      <c r="D32" s="12" t="s">
        <v>61</v>
      </c>
      <c r="E32" s="12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Calendar_View</vt:lpstr>
      <vt:lpstr>Summary</vt:lpstr>
      <vt:lpstr>Attendance_Tracker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2026-02-08T17:09:42Z</dcterms:created>
  <dcterms:modified xsi:type="dcterms:W3CDTF">2026-02-08T17:13:39Z</dcterms:modified>
</cp:coreProperties>
</file>