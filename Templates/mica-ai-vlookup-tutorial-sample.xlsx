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7D02941-8AC0-4BAB-A034-82C6586076C3}" xr6:coauthVersionLast="47" xr6:coauthVersionMax="47" xr10:uidLastSave="{00000000-0000-0000-0000-000000000000}"/>
  <bookViews>
    <workbookView xWindow="15" yWindow="60" windowWidth="11760" windowHeight="10455" firstSheet="1" activeTab="2" xr2:uid="{A60D3D8D-7D7E-43CD-ACA7-6BCACEB23CEC}"/>
  </bookViews>
  <sheets>
    <sheet name="VLOOKUP_Examples" sheetId="4" r:id="rId1"/>
    <sheet name="LookupTable" sheetId="3" r:id="rId2"/>
    <sheet name="ProductData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H8" i="2"/>
  <c r="H7" i="2"/>
  <c r="H6" i="2"/>
  <c r="H5" i="2"/>
  <c r="H4" i="2"/>
  <c r="H3" i="2"/>
  <c r="H2" i="2"/>
  <c r="AB3" i="4"/>
  <c r="W3" i="4"/>
  <c r="R4" i="4"/>
  <c r="R3" i="4"/>
  <c r="J3" i="4"/>
  <c r="F5" i="4"/>
  <c r="F4" i="4"/>
  <c r="F3" i="4"/>
</calcChain>
</file>

<file path=xl/sharedStrings.xml><?xml version="1.0" encoding="utf-8"?>
<sst xmlns="http://schemas.openxmlformats.org/spreadsheetml/2006/main" count="147" uniqueCount="86">
  <si>
    <t>Product ID</t>
  </si>
  <si>
    <t>Product Name</t>
  </si>
  <si>
    <t>Category</t>
  </si>
  <si>
    <t>Price</t>
  </si>
  <si>
    <t>Stock</t>
  </si>
  <si>
    <t>Supplier</t>
  </si>
  <si>
    <t>Discount Rate</t>
  </si>
  <si>
    <t>Final Price</t>
  </si>
  <si>
    <t>P001</t>
  </si>
  <si>
    <t>Laptop Pro</t>
  </si>
  <si>
    <t>Electronics</t>
  </si>
  <si>
    <t>TechCorp</t>
  </si>
  <si>
    <t>P002</t>
  </si>
  <si>
    <t>Wireless Mouse</t>
  </si>
  <si>
    <t>P003</t>
  </si>
  <si>
    <t>Office Chair</t>
  </si>
  <si>
    <t>Furniture</t>
  </si>
  <si>
    <t>OfficeSupplies</t>
  </si>
  <si>
    <t>P004</t>
  </si>
  <si>
    <t>Desk Lamp</t>
  </si>
  <si>
    <t>HomeGoods</t>
  </si>
  <si>
    <t>P005</t>
  </si>
  <si>
    <t>Smartphone</t>
  </si>
  <si>
    <t>P006</t>
  </si>
  <si>
    <t>Notebook</t>
  </si>
  <si>
    <t>Stationery</t>
  </si>
  <si>
    <t>P007</t>
  </si>
  <si>
    <t>Monitor</t>
  </si>
  <si>
    <t>Supplier Code</t>
  </si>
  <si>
    <t>Discount Tier</t>
  </si>
  <si>
    <t>TC001</t>
  </si>
  <si>
    <t>A</t>
  </si>
  <si>
    <t>B</t>
  </si>
  <si>
    <t>OS002</t>
  </si>
  <si>
    <t>HG003</t>
  </si>
  <si>
    <t>C</t>
  </si>
  <si>
    <t>D</t>
  </si>
  <si>
    <t>VLOOKUP Function Examples</t>
  </si>
  <si>
    <t>VLOOKUP Syntax:</t>
  </si>
  <si>
    <t>VLOOKUP(lookup_value, table_array, col_index_num, [range_lookup])</t>
  </si>
  <si>
    <t>Parameter Explanation:</t>
  </si>
  <si>
    <t>lookup_value:</t>
  </si>
  <si>
    <t>table_array:</t>
  </si>
  <si>
    <t>col_index_num:</t>
  </si>
  <si>
    <t>range_lookup:</t>
  </si>
  <si>
    <t>The value to search for</t>
  </si>
  <si>
    <t>The table range to search in</t>
  </si>
  <si>
    <t>The column number to return (starting from 1)</t>
  </si>
  <si>
    <t>FALSE for exact match, TRUE for approximate match</t>
  </si>
  <si>
    <t>Example 1: Basic VLOOKUP</t>
  </si>
  <si>
    <t>Lookup Product ID:</t>
  </si>
  <si>
    <t>Return Product Name:</t>
  </si>
  <si>
    <t>Return Category:</t>
  </si>
  <si>
    <t>Return Price:</t>
  </si>
  <si>
    <t>Formula:</t>
  </si>
  <si>
    <t>Result:</t>
  </si>
  <si>
    <t>Example 2: VLOOKUP with Approximate Match</t>
  </si>
  <si>
    <t>Score:</t>
  </si>
  <si>
    <t>Grade:</t>
  </si>
  <si>
    <t>Grade Table (for approximate match):</t>
  </si>
  <si>
    <t>Score</t>
  </si>
  <si>
    <t>Grade</t>
  </si>
  <si>
    <t>F</t>
  </si>
  <si>
    <t>Example 3: VLOOKUP with Dynamic Column</t>
  </si>
  <si>
    <t>Return Supplier Code:</t>
  </si>
  <si>
    <t>Return Discount Tier:</t>
  </si>
  <si>
    <t>Example 4: VLOOKUP with IFERROR</t>
  </si>
  <si>
    <t>Return Price (with error handling):</t>
  </si>
  <si>
    <t>P009</t>
  </si>
  <si>
    <t>Example 5: VLOOKUP from Another Sheet</t>
  </si>
  <si>
    <t>Return Product Name from ProductData:</t>
  </si>
  <si>
    <t>Important Notes:</t>
  </si>
  <si>
    <t>1. VLOOKUP always searches in the first column of the table_array</t>
  </si>
  <si>
    <t>2. Use FALSE for exact matches (most common)</t>
  </si>
  <si>
    <t>3. Use TRUE for approximate matches (requires sorted data)</t>
  </si>
  <si>
    <t>4. Always use absolute references ($) for table_array</t>
  </si>
  <si>
    <t>5. VLOOKUP cannot look to the left - search column must be first</t>
  </si>
  <si>
    <t>6. Consider using XLOOKUP for more flexibility (Excel 365)</t>
  </si>
  <si>
    <t>Common Errors:</t>
  </si>
  <si>
    <t>#N/A: Value not found</t>
  </si>
  <si>
    <t>#REF!: Column index out of range</t>
  </si>
  <si>
    <t>#VALUE!: Wrong data type or missing arguments</t>
  </si>
  <si>
    <t>Example: Using VLOOKUP to get discount from LookupTable</t>
  </si>
  <si>
    <t>Product ID:</t>
  </si>
  <si>
    <t>Discount from LookupTable:</t>
  </si>
  <si>
    <t>Note: This shows how VLOOKUP can retrieve data from another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</si>
</sst>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8CFB-A0E3-4E61-9899-E8EDD188A5AE}">
  <dimension ref="A1:AC23"/>
  <sheetViews>
    <sheetView workbookViewId="0">
      <selection activeCell="A20" sqref="A20"/>
    </sheetView>
  </sheetViews>
  <sheetFormatPr defaultRowHeight="15" x14ac:dyDescent="0.25"/>
  <cols>
    <col min="1" max="1" width="25.7109375" customWidth="1"/>
    <col min="2" max="2" width="30.7109375" customWidth="1"/>
  </cols>
  <sheetData>
    <row r="1" spans="1:29" x14ac:dyDescent="0.25">
      <c r="A1" s="1" t="s">
        <v>37</v>
      </c>
      <c r="D1" s="1" t="s">
        <v>49</v>
      </c>
      <c r="H1" s="1" t="s">
        <v>56</v>
      </c>
      <c r="M1" t="s">
        <v>59</v>
      </c>
      <c r="P1" s="1" t="s">
        <v>63</v>
      </c>
      <c r="U1" s="1" t="s">
        <v>66</v>
      </c>
      <c r="Z1" s="1" t="s">
        <v>69</v>
      </c>
    </row>
    <row r="2" spans="1:29" x14ac:dyDescent="0.25">
      <c r="D2" t="s">
        <v>50</v>
      </c>
      <c r="E2" t="s">
        <v>14</v>
      </c>
      <c r="F2" t="s">
        <v>54</v>
      </c>
      <c r="G2" t="s">
        <v>55</v>
      </c>
      <c r="H2" t="s">
        <v>57</v>
      </c>
      <c r="I2">
        <v>87</v>
      </c>
      <c r="J2" t="s">
        <v>54</v>
      </c>
      <c r="K2" t="s">
        <v>55</v>
      </c>
      <c r="M2" t="s">
        <v>60</v>
      </c>
      <c r="N2" t="s">
        <v>61</v>
      </c>
      <c r="P2" t="s">
        <v>50</v>
      </c>
      <c r="Q2" t="s">
        <v>21</v>
      </c>
      <c r="R2" t="s">
        <v>54</v>
      </c>
      <c r="S2" t="s">
        <v>55</v>
      </c>
      <c r="U2" t="s">
        <v>50</v>
      </c>
      <c r="V2" t="s">
        <v>68</v>
      </c>
      <c r="W2" t="s">
        <v>54</v>
      </c>
      <c r="X2" t="s">
        <v>55</v>
      </c>
      <c r="Z2" t="s">
        <v>50</v>
      </c>
      <c r="AA2" t="s">
        <v>18</v>
      </c>
      <c r="AB2" t="s">
        <v>54</v>
      </c>
      <c r="AC2" t="s">
        <v>55</v>
      </c>
    </row>
    <row r="3" spans="1:29" x14ac:dyDescent="0.25">
      <c r="A3" t="s">
        <v>38</v>
      </c>
      <c r="D3" t="s">
        <v>51</v>
      </c>
      <c r="F3" t="str">
        <f>VLOOKUP(E2,LookupTable!$A$2:$F$8,2,FALSE)</f>
        <v>Office Chair</v>
      </c>
      <c r="H3" t="s">
        <v>58</v>
      </c>
      <c r="J3" t="str">
        <f>VLOOKUP(I2,$M$2:$N$6,2,TRUE)</f>
        <v>B</v>
      </c>
      <c r="M3">
        <v>0</v>
      </c>
      <c r="N3" t="s">
        <v>62</v>
      </c>
      <c r="P3" t="s">
        <v>64</v>
      </c>
      <c r="R3" t="str">
        <f>VLOOKUP(Q2,LookupTable!$A$2:$F$8,5,FALSE)</f>
        <v>TC001</v>
      </c>
      <c r="U3" t="s">
        <v>67</v>
      </c>
      <c r="W3" t="str">
        <f>IFERROR(VLOOKUP(V2,LookupTable!$A$2:$F$8,4,FALSE),"Not Found")</f>
        <v>Not Found</v>
      </c>
      <c r="Z3" t="s">
        <v>70</v>
      </c>
      <c r="AB3" t="str">
        <f>VLOOKUP(AA2,ProductData!$A$2:$G$8,2,FALSE)</f>
        <v>Desk Lamp</v>
      </c>
    </row>
    <row r="4" spans="1:29" x14ac:dyDescent="0.25">
      <c r="A4" t="s">
        <v>39</v>
      </c>
      <c r="D4" t="s">
        <v>52</v>
      </c>
      <c r="F4" t="str">
        <f>VLOOKUP(E2,LookupTable!$A$2:$F$8,3,FALSE)</f>
        <v>Furniture</v>
      </c>
      <c r="M4">
        <v>60</v>
      </c>
      <c r="N4" t="s">
        <v>36</v>
      </c>
      <c r="P4" t="s">
        <v>65</v>
      </c>
      <c r="R4" t="str">
        <f>VLOOKUP(Q2,LookupTable!$A$2:$F$8,6,FALSE)</f>
        <v>A</v>
      </c>
    </row>
    <row r="5" spans="1:29" x14ac:dyDescent="0.25">
      <c r="D5" t="s">
        <v>53</v>
      </c>
      <c r="F5">
        <f>VLOOKUP(E2,LookupTable!$A$2:$F$8,4,FALSE)</f>
        <v>350</v>
      </c>
      <c r="M5">
        <v>70</v>
      </c>
      <c r="N5" t="s">
        <v>35</v>
      </c>
    </row>
    <row r="6" spans="1:29" x14ac:dyDescent="0.25">
      <c r="A6" t="s">
        <v>40</v>
      </c>
      <c r="M6">
        <v>80</v>
      </c>
      <c r="N6" t="s">
        <v>32</v>
      </c>
    </row>
    <row r="7" spans="1:29" x14ac:dyDescent="0.25">
      <c r="A7" t="s">
        <v>41</v>
      </c>
      <c r="B7" t="s">
        <v>45</v>
      </c>
      <c r="M7">
        <v>90</v>
      </c>
      <c r="N7" t="s">
        <v>31</v>
      </c>
    </row>
    <row r="8" spans="1:29" x14ac:dyDescent="0.25">
      <c r="A8" t="s">
        <v>42</v>
      </c>
      <c r="B8" t="s">
        <v>46</v>
      </c>
    </row>
    <row r="9" spans="1:29" x14ac:dyDescent="0.25">
      <c r="A9" t="s">
        <v>43</v>
      </c>
      <c r="B9" t="s">
        <v>47</v>
      </c>
    </row>
    <row r="10" spans="1:29" x14ac:dyDescent="0.25">
      <c r="A10" t="s">
        <v>44</v>
      </c>
      <c r="B10" t="s">
        <v>48</v>
      </c>
    </row>
    <row r="12" spans="1:29" x14ac:dyDescent="0.25">
      <c r="A12" s="1" t="s">
        <v>71</v>
      </c>
    </row>
    <row r="13" spans="1:29" x14ac:dyDescent="0.25">
      <c r="A13" t="s">
        <v>72</v>
      </c>
    </row>
    <row r="14" spans="1:29" x14ac:dyDescent="0.25">
      <c r="A14" t="s">
        <v>73</v>
      </c>
    </row>
    <row r="15" spans="1:29" x14ac:dyDescent="0.25">
      <c r="A15" t="s">
        <v>74</v>
      </c>
    </row>
    <row r="16" spans="1:29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20" spans="1:1" x14ac:dyDescent="0.25">
      <c r="A20" s="1" t="s">
        <v>78</v>
      </c>
    </row>
    <row r="21" spans="1:1" x14ac:dyDescent="0.25">
      <c r="A21" t="s">
        <v>79</v>
      </c>
    </row>
    <row r="22" spans="1:1" x14ac:dyDescent="0.25">
      <c r="A22" t="s">
        <v>80</v>
      </c>
    </row>
    <row r="23" spans="1:1" x14ac:dyDescent="0.25">
      <c r="A2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BC71-43C7-4F42-901F-75CB500A40E4}">
  <dimension ref="A1:F8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</row>
    <row r="2" spans="1:6" x14ac:dyDescent="0.25">
      <c r="A2" t="s">
        <v>8</v>
      </c>
      <c r="B2" t="s">
        <v>9</v>
      </c>
      <c r="C2" t="s">
        <v>10</v>
      </c>
      <c r="D2">
        <v>1200</v>
      </c>
      <c r="E2" t="s">
        <v>30</v>
      </c>
      <c r="F2" t="s">
        <v>31</v>
      </c>
    </row>
    <row r="3" spans="1:6" x14ac:dyDescent="0.25">
      <c r="A3" t="s">
        <v>12</v>
      </c>
      <c r="B3" t="s">
        <v>13</v>
      </c>
      <c r="C3" t="s">
        <v>10</v>
      </c>
      <c r="D3">
        <v>45</v>
      </c>
      <c r="E3" t="s">
        <v>30</v>
      </c>
      <c r="F3" t="s">
        <v>32</v>
      </c>
    </row>
    <row r="4" spans="1:6" x14ac:dyDescent="0.25">
      <c r="A4" t="s">
        <v>14</v>
      </c>
      <c r="B4" t="s">
        <v>15</v>
      </c>
      <c r="C4" t="s">
        <v>16</v>
      </c>
      <c r="D4">
        <v>350</v>
      </c>
      <c r="E4" t="s">
        <v>33</v>
      </c>
      <c r="F4" t="s">
        <v>31</v>
      </c>
    </row>
    <row r="5" spans="1:6" x14ac:dyDescent="0.25">
      <c r="A5" t="s">
        <v>18</v>
      </c>
      <c r="B5" t="s">
        <v>19</v>
      </c>
      <c r="C5" t="s">
        <v>16</v>
      </c>
      <c r="D5">
        <v>85</v>
      </c>
      <c r="E5" t="s">
        <v>34</v>
      </c>
      <c r="F5" t="s">
        <v>35</v>
      </c>
    </row>
    <row r="6" spans="1:6" x14ac:dyDescent="0.25">
      <c r="A6" t="s">
        <v>21</v>
      </c>
      <c r="B6" t="s">
        <v>22</v>
      </c>
      <c r="C6" t="s">
        <v>10</v>
      </c>
      <c r="D6">
        <v>899</v>
      </c>
      <c r="E6" t="s">
        <v>30</v>
      </c>
      <c r="F6" t="s">
        <v>31</v>
      </c>
    </row>
    <row r="7" spans="1:6" x14ac:dyDescent="0.25">
      <c r="A7" t="s">
        <v>23</v>
      </c>
      <c r="B7" t="s">
        <v>24</v>
      </c>
      <c r="C7" t="s">
        <v>25</v>
      </c>
      <c r="D7">
        <v>12</v>
      </c>
      <c r="E7" t="s">
        <v>33</v>
      </c>
      <c r="F7" t="s">
        <v>36</v>
      </c>
    </row>
    <row r="8" spans="1:6" x14ac:dyDescent="0.25">
      <c r="A8" t="s">
        <v>26</v>
      </c>
      <c r="B8" t="s">
        <v>27</v>
      </c>
      <c r="C8" t="s">
        <v>10</v>
      </c>
      <c r="D8">
        <v>450</v>
      </c>
      <c r="E8" t="s">
        <v>30</v>
      </c>
      <c r="F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8A40-CC11-47B5-A4B2-E503A41FB882}">
  <dimension ref="A1:M8"/>
  <sheetViews>
    <sheetView tabSelected="1" workbookViewId="0">
      <selection activeCell="J1" sqref="J1"/>
    </sheetView>
  </sheetViews>
  <sheetFormatPr defaultRowHeight="15" x14ac:dyDescent="0.25"/>
  <cols>
    <col min="1" max="1" width="10.7109375" customWidth="1"/>
    <col min="2" max="2" width="15.7109375" customWidth="1"/>
    <col min="3" max="3" width="12.7109375" customWidth="1"/>
    <col min="4" max="5" width="10.7109375" customWidth="1"/>
    <col min="6" max="8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82</v>
      </c>
    </row>
    <row r="2" spans="1:13" x14ac:dyDescent="0.25">
      <c r="A2" t="s">
        <v>8</v>
      </c>
      <c r="B2" t="s">
        <v>9</v>
      </c>
      <c r="C2" t="s">
        <v>10</v>
      </c>
      <c r="D2">
        <v>1200</v>
      </c>
      <c r="E2">
        <v>25</v>
      </c>
      <c r="F2" t="s">
        <v>11</v>
      </c>
      <c r="G2">
        <v>0.1</v>
      </c>
      <c r="H2">
        <f>D2*(1-G2)</f>
        <v>1080</v>
      </c>
      <c r="J2" t="s">
        <v>83</v>
      </c>
      <c r="K2" t="s">
        <v>14</v>
      </c>
      <c r="L2" t="s">
        <v>54</v>
      </c>
      <c r="M2" t="s">
        <v>55</v>
      </c>
    </row>
    <row r="3" spans="1:13" x14ac:dyDescent="0.25">
      <c r="A3" t="s">
        <v>12</v>
      </c>
      <c r="B3" t="s">
        <v>13</v>
      </c>
      <c r="C3" t="s">
        <v>10</v>
      </c>
      <c r="D3">
        <v>45</v>
      </c>
      <c r="E3">
        <v>150</v>
      </c>
      <c r="F3" t="s">
        <v>11</v>
      </c>
      <c r="G3">
        <v>0.05</v>
      </c>
      <c r="H3">
        <f>D3*(1-G3)</f>
        <v>42.75</v>
      </c>
      <c r="J3" t="s">
        <v>84</v>
      </c>
      <c r="L3" t="str">
        <f>VLOOKUP(K2,LookupTable!$A$2:$F$8,6,FALSE)</f>
        <v>A</v>
      </c>
    </row>
    <row r="4" spans="1:13" x14ac:dyDescent="0.25">
      <c r="A4" t="s">
        <v>14</v>
      </c>
      <c r="B4" t="s">
        <v>15</v>
      </c>
      <c r="C4" t="s">
        <v>16</v>
      </c>
      <c r="D4">
        <v>350</v>
      </c>
      <c r="E4">
        <v>40</v>
      </c>
      <c r="F4" t="s">
        <v>17</v>
      </c>
      <c r="G4">
        <v>0.15</v>
      </c>
      <c r="H4">
        <f>D4*(1-G4)</f>
        <v>297.5</v>
      </c>
    </row>
    <row r="5" spans="1:13" x14ac:dyDescent="0.25">
      <c r="A5" t="s">
        <v>18</v>
      </c>
      <c r="B5" t="s">
        <v>19</v>
      </c>
      <c r="C5" t="s">
        <v>16</v>
      </c>
      <c r="D5">
        <v>85</v>
      </c>
      <c r="E5">
        <v>75</v>
      </c>
      <c r="F5" t="s">
        <v>20</v>
      </c>
      <c r="G5">
        <v>0.08</v>
      </c>
      <c r="H5">
        <f>D5*(1-G5)</f>
        <v>78.2</v>
      </c>
      <c r="J5" t="s">
        <v>85</v>
      </c>
    </row>
    <row r="6" spans="1:13" x14ac:dyDescent="0.25">
      <c r="A6" t="s">
        <v>21</v>
      </c>
      <c r="B6" t="s">
        <v>22</v>
      </c>
      <c r="C6" t="s">
        <v>10</v>
      </c>
      <c r="D6">
        <v>899</v>
      </c>
      <c r="E6">
        <v>60</v>
      </c>
      <c r="F6" t="s">
        <v>11</v>
      </c>
      <c r="G6">
        <v>0.12</v>
      </c>
      <c r="H6">
        <f>D6*(1-G6)</f>
        <v>791.12</v>
      </c>
    </row>
    <row r="7" spans="1:13" x14ac:dyDescent="0.25">
      <c r="A7" t="s">
        <v>23</v>
      </c>
      <c r="B7" t="s">
        <v>24</v>
      </c>
      <c r="C7" t="s">
        <v>25</v>
      </c>
      <c r="D7">
        <v>12</v>
      </c>
      <c r="E7">
        <v>200</v>
      </c>
      <c r="F7" t="s">
        <v>17</v>
      </c>
      <c r="G7">
        <v>0.03</v>
      </c>
      <c r="H7">
        <f>D7*(1-G7)</f>
        <v>11.64</v>
      </c>
    </row>
    <row r="8" spans="1:13" x14ac:dyDescent="0.25">
      <c r="A8" t="s">
        <v>26</v>
      </c>
      <c r="B8" t="s">
        <v>27</v>
      </c>
      <c r="C8" t="s">
        <v>10</v>
      </c>
      <c r="D8">
        <v>450</v>
      </c>
      <c r="E8">
        <v>35</v>
      </c>
      <c r="F8" t="s">
        <v>11</v>
      </c>
      <c r="G8">
        <v>0.1</v>
      </c>
      <c r="H8">
        <f>D8*(1-G8)</f>
        <v>405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98CB-5224-4D68-B80C-39556B8F2B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VLOOKUP_Examples</vt:lpstr>
      <vt:lpstr>LookupTable</vt:lpstr>
      <vt:lpstr>ProductData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2026-02-08T17:31:59Z</dcterms:created>
  <dcterms:modified xsi:type="dcterms:W3CDTF">2026-02-08T17:34:55Z</dcterms:modified>
</cp:coreProperties>
</file>