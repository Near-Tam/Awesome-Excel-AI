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workdata\"/>
    </mc:Choice>
  </mc:AlternateContent>
  <xr:revisionPtr revIDLastSave="0" documentId="13_ncr:1_{3323A71D-42C8-4F0F-B759-431DCF2A8030}" xr6:coauthVersionLast="47" xr6:coauthVersionMax="47" xr10:uidLastSave="{00000000-0000-0000-0000-000000000000}"/>
  <bookViews>
    <workbookView xWindow="-45" yWindow="120" windowWidth="13785" windowHeight="11190" firstSheet="1" activeTab="2" xr2:uid="{FEEB2690-C0AF-4842-A2B0-D46A99AC5382}"/>
  </bookViews>
  <sheets>
    <sheet name="Quarterly_Analysis" sheetId="6" r:id="rId1"/>
    <sheet name="Financial_Ratios" sheetId="5" r:id="rId2"/>
    <sheet name="Cash_Flow" sheetId="4" r:id="rId3"/>
    <sheet name="Balance_Sheet" sheetId="3" r:id="rId4"/>
    <sheet name="Income_Statement" sheetId="2" r:id="rId5"/>
    <sheet name="Dashboard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0" i="6" l="1"/>
  <c r="B39" i="6"/>
  <c r="B38" i="6"/>
  <c r="B37" i="6"/>
  <c r="F34" i="6"/>
  <c r="E34" i="6"/>
  <c r="D34" i="6"/>
  <c r="C34" i="6"/>
  <c r="B34" i="6"/>
  <c r="F33" i="6"/>
  <c r="E33" i="6"/>
  <c r="D33" i="6"/>
  <c r="C33" i="6"/>
  <c r="B33" i="6"/>
  <c r="F32" i="6"/>
  <c r="E32" i="6"/>
  <c r="D32" i="6"/>
  <c r="C32" i="6"/>
  <c r="B32" i="6"/>
  <c r="F31" i="6"/>
  <c r="E31" i="6"/>
  <c r="D31" i="6"/>
  <c r="C31" i="6"/>
  <c r="B31" i="6"/>
  <c r="F30" i="6"/>
  <c r="E30" i="6"/>
  <c r="D30" i="6"/>
  <c r="C30" i="6"/>
  <c r="B30" i="6"/>
  <c r="F27" i="6"/>
  <c r="E27" i="6"/>
  <c r="D27" i="6"/>
  <c r="C27" i="6"/>
  <c r="B27" i="6"/>
  <c r="F26" i="6"/>
  <c r="E26" i="6"/>
  <c r="D26" i="6"/>
  <c r="C26" i="6"/>
  <c r="B26" i="6"/>
  <c r="F25" i="6"/>
  <c r="E25" i="6"/>
  <c r="D25" i="6"/>
  <c r="C25" i="6"/>
  <c r="B25" i="6"/>
  <c r="F24" i="6"/>
  <c r="E24" i="6"/>
  <c r="D24" i="6"/>
  <c r="C24" i="6"/>
  <c r="B24" i="6"/>
  <c r="F23" i="6"/>
  <c r="E23" i="6"/>
  <c r="D23" i="6"/>
  <c r="C23" i="6"/>
  <c r="B23" i="6"/>
  <c r="F22" i="6"/>
  <c r="E22" i="6"/>
  <c r="D22" i="6"/>
  <c r="C22" i="6"/>
  <c r="B22" i="6"/>
  <c r="F19" i="6"/>
  <c r="E19" i="6"/>
  <c r="D19" i="6"/>
  <c r="C19" i="6"/>
  <c r="B19" i="6"/>
  <c r="F18" i="6"/>
  <c r="E18" i="6"/>
  <c r="D18" i="6"/>
  <c r="C18" i="6"/>
  <c r="B18" i="6"/>
  <c r="F17" i="6"/>
  <c r="E17" i="6"/>
  <c r="D17" i="6"/>
  <c r="C17" i="6"/>
  <c r="B17" i="6"/>
  <c r="F16" i="6"/>
  <c r="E16" i="6"/>
  <c r="D16" i="6"/>
  <c r="C16" i="6"/>
  <c r="B16" i="6"/>
  <c r="F15" i="6"/>
  <c r="E15" i="6"/>
  <c r="D15" i="6"/>
  <c r="C15" i="6"/>
  <c r="B15" i="6"/>
  <c r="F14" i="6"/>
  <c r="E14" i="6"/>
  <c r="D14" i="6"/>
  <c r="C14" i="6"/>
  <c r="B14" i="6"/>
  <c r="F11" i="6"/>
  <c r="E11" i="6"/>
  <c r="D11" i="6"/>
  <c r="C11" i="6"/>
  <c r="B11" i="6"/>
  <c r="F10" i="6"/>
  <c r="E10" i="6"/>
  <c r="D10" i="6"/>
  <c r="C10" i="6"/>
  <c r="B10" i="6"/>
  <c r="F9" i="6"/>
  <c r="E9" i="6"/>
  <c r="D9" i="6"/>
  <c r="C9" i="6"/>
  <c r="B9" i="6"/>
  <c r="F8" i="6"/>
  <c r="E8" i="6"/>
  <c r="D8" i="6"/>
  <c r="C8" i="6"/>
  <c r="B8" i="6"/>
  <c r="F7" i="6"/>
  <c r="E7" i="6"/>
  <c r="D7" i="6"/>
  <c r="C7" i="6"/>
  <c r="B7" i="6"/>
  <c r="F6" i="6"/>
  <c r="E6" i="6"/>
  <c r="D6" i="6"/>
  <c r="C6" i="6"/>
  <c r="B6" i="6"/>
  <c r="F23" i="5"/>
  <c r="F22" i="5"/>
  <c r="F21" i="5"/>
  <c r="D21" i="5"/>
  <c r="F20" i="5"/>
  <c r="F19" i="5"/>
  <c r="D19" i="5"/>
  <c r="F18" i="5"/>
  <c r="D18" i="5"/>
  <c r="F17" i="5"/>
  <c r="D17" i="5"/>
  <c r="F16" i="5"/>
  <c r="D16" i="5"/>
  <c r="F15" i="5"/>
  <c r="D15" i="5"/>
  <c r="F14" i="5"/>
  <c r="D14" i="5"/>
  <c r="F13" i="5"/>
  <c r="D13" i="5"/>
  <c r="F12" i="5"/>
  <c r="D12" i="5"/>
  <c r="F11" i="5"/>
  <c r="D11" i="5"/>
  <c r="F10" i="5"/>
  <c r="D10" i="5"/>
  <c r="F9" i="5"/>
  <c r="D9" i="5"/>
  <c r="F8" i="5"/>
  <c r="D8" i="5"/>
  <c r="F7" i="5"/>
  <c r="D7" i="5"/>
  <c r="F6" i="5"/>
  <c r="D6" i="5"/>
  <c r="F5" i="5"/>
  <c r="D5" i="5"/>
  <c r="C40" i="4"/>
  <c r="B40" i="4"/>
  <c r="B39" i="4"/>
  <c r="C38" i="4"/>
  <c r="B38" i="4"/>
  <c r="C36" i="4"/>
  <c r="B36" i="4"/>
  <c r="C27" i="4"/>
  <c r="B27" i="4"/>
  <c r="C18" i="4"/>
  <c r="B18" i="4"/>
  <c r="B5" i="4"/>
  <c r="D51" i="3"/>
  <c r="C51" i="3"/>
  <c r="B51" i="3"/>
  <c r="D49" i="3"/>
  <c r="D48" i="3"/>
  <c r="D47" i="3"/>
  <c r="D46" i="3"/>
  <c r="D45" i="3"/>
  <c r="D44" i="3"/>
  <c r="C49" i="3"/>
  <c r="B49" i="3"/>
  <c r="D41" i="3"/>
  <c r="C41" i="3"/>
  <c r="B41" i="3"/>
  <c r="D39" i="3"/>
  <c r="D38" i="3"/>
  <c r="D37" i="3"/>
  <c r="D36" i="3"/>
  <c r="D35" i="3"/>
  <c r="C39" i="3"/>
  <c r="B39" i="3"/>
  <c r="D32" i="3"/>
  <c r="D31" i="3"/>
  <c r="D30" i="3"/>
  <c r="D29" i="3"/>
  <c r="D28" i="3"/>
  <c r="D27" i="3"/>
  <c r="C32" i="3"/>
  <c r="B32" i="3"/>
  <c r="D23" i="3"/>
  <c r="C23" i="3"/>
  <c r="B23" i="3"/>
  <c r="D21" i="3"/>
  <c r="D20" i="3"/>
  <c r="D19" i="3"/>
  <c r="D18" i="3"/>
  <c r="D17" i="3"/>
  <c r="D16" i="3"/>
  <c r="D15" i="3"/>
  <c r="D14" i="3"/>
  <c r="C21" i="3"/>
  <c r="B21" i="3"/>
  <c r="C16" i="3"/>
  <c r="B16" i="3"/>
  <c r="D11" i="3"/>
  <c r="D10" i="3"/>
  <c r="D9" i="3"/>
  <c r="D8" i="3"/>
  <c r="D7" i="3"/>
  <c r="D6" i="3"/>
  <c r="C11" i="3"/>
  <c r="B11" i="3"/>
  <c r="A36" i="1"/>
  <c r="E7" i="1"/>
  <c r="D15" i="1"/>
  <c r="D14" i="1"/>
  <c r="D13" i="1"/>
  <c r="D12" i="1"/>
  <c r="D11" i="1"/>
  <c r="D10" i="1"/>
  <c r="E9" i="1"/>
  <c r="D9" i="1"/>
  <c r="B9" i="1"/>
  <c r="E8" i="1"/>
  <c r="D8" i="1"/>
  <c r="B8" i="1"/>
  <c r="D7" i="1"/>
  <c r="B7" i="1"/>
  <c r="E6" i="1"/>
  <c r="D6" i="1"/>
  <c r="B6" i="1"/>
  <c r="F41" i="2"/>
  <c r="E41" i="2"/>
  <c r="D41" i="2"/>
  <c r="C41" i="2"/>
  <c r="B41" i="2"/>
  <c r="F39" i="2"/>
  <c r="E39" i="2"/>
  <c r="D39" i="2"/>
  <c r="C39" i="2"/>
  <c r="B39" i="2"/>
  <c r="F37" i="2"/>
  <c r="E37" i="2"/>
  <c r="D37" i="2"/>
  <c r="C37" i="2"/>
  <c r="B37" i="2"/>
  <c r="F35" i="2"/>
  <c r="F34" i="2"/>
  <c r="F33" i="2"/>
  <c r="F32" i="2"/>
  <c r="E35" i="2"/>
  <c r="D35" i="2"/>
  <c r="C35" i="2"/>
  <c r="B35" i="2"/>
  <c r="F29" i="2"/>
  <c r="E29" i="2"/>
  <c r="D29" i="2"/>
  <c r="C29" i="2"/>
  <c r="B29" i="2"/>
  <c r="F27" i="2"/>
  <c r="F26" i="2"/>
  <c r="F25" i="2"/>
  <c r="F24" i="2"/>
  <c r="F23" i="2"/>
  <c r="F22" i="2"/>
  <c r="F21" i="2"/>
  <c r="E27" i="2"/>
  <c r="D27" i="2"/>
  <c r="C27" i="2"/>
  <c r="B27" i="2"/>
  <c r="F18" i="2"/>
  <c r="E18" i="2"/>
  <c r="D18" i="2"/>
  <c r="C18" i="2"/>
  <c r="B18" i="2"/>
  <c r="F16" i="2"/>
  <c r="F15" i="2"/>
  <c r="F14" i="2"/>
  <c r="F13" i="2"/>
  <c r="E16" i="2"/>
  <c r="D16" i="2"/>
  <c r="C16" i="2"/>
  <c r="B16" i="2"/>
  <c r="F10" i="2"/>
  <c r="F9" i="2"/>
  <c r="F8" i="2"/>
  <c r="F7" i="2"/>
  <c r="F6" i="2"/>
  <c r="E10" i="2"/>
  <c r="D10" i="2"/>
  <c r="C10" i="2"/>
  <c r="B10" i="2"/>
</calcChain>
</file>

<file path=xl/sharedStrings.xml><?xml version="1.0" encoding="utf-8"?>
<sst xmlns="http://schemas.openxmlformats.org/spreadsheetml/2006/main" count="249" uniqueCount="214">
  <si>
    <t>COMPANY FINANCIAL REPORT - INCOME STATEMENT</t>
  </si>
  <si>
    <t>Fiscal Year 2025</t>
  </si>
  <si>
    <t>Category</t>
  </si>
  <si>
    <t>Q1 2025</t>
  </si>
  <si>
    <t>Q2 2025</t>
  </si>
  <si>
    <t>Q3 2025</t>
  </si>
  <si>
    <t>Q4 2025</t>
  </si>
  <si>
    <t>Total 2025</t>
  </si>
  <si>
    <t>REVENUE</t>
  </si>
  <si>
    <t>Product Sales</t>
  </si>
  <si>
    <t>Service Revenue</t>
  </si>
  <si>
    <t>Subscription Fees</t>
  </si>
  <si>
    <t>Other Income</t>
  </si>
  <si>
    <t>Total Revenue</t>
  </si>
  <si>
    <t>COST OF GOODS SOLD</t>
  </si>
  <si>
    <t>Direct Materials</t>
  </si>
  <si>
    <t>Direct Labor</t>
  </si>
  <si>
    <t>Manufacturing Overhead</t>
  </si>
  <si>
    <t>Total COGS</t>
  </si>
  <si>
    <t>GROSS PROFIT</t>
  </si>
  <si>
    <t>OPERATING EXPENSES</t>
  </si>
  <si>
    <t>Marketing &amp; Advertising</t>
  </si>
  <si>
    <t>Research &amp; Development</t>
  </si>
  <si>
    <t>Salaries &amp; Benefits</t>
  </si>
  <si>
    <t>Rent &amp; Utilities</t>
  </si>
  <si>
    <t>Depreciation</t>
  </si>
  <si>
    <t>Other Operating Expenses</t>
  </si>
  <si>
    <t>Total Operating Expenses</t>
  </si>
  <si>
    <t>OPERATING INCOME</t>
  </si>
  <si>
    <t>NON-OPERATING ITEMS</t>
  </si>
  <si>
    <t>Interest Income</t>
  </si>
  <si>
    <t>Interest Expense</t>
  </si>
  <si>
    <t>Other Non-Operating</t>
  </si>
  <si>
    <t>Total Non-Operating</t>
  </si>
  <si>
    <t>PRE-TAX INCOME</t>
  </si>
  <si>
    <t>Income Tax Expense</t>
  </si>
  <si>
    <t>NET INCOME</t>
  </si>
  <si>
    <t>COMPANY FINANCIAL DASHBOARD</t>
  </si>
  <si>
    <t>Real-Time Financial Performance Overview</t>
  </si>
  <si>
    <t>KEY PERFORMANCE INDICATORS</t>
  </si>
  <si>
    <t>Metric</t>
  </si>
  <si>
    <t>Value</t>
  </si>
  <si>
    <t>Target</t>
  </si>
  <si>
    <t>Status</t>
  </si>
  <si>
    <t>Trend</t>
  </si>
  <si>
    <t>Gross Profit Margin</t>
  </si>
  <si>
    <t>Operating Margin</t>
  </si>
  <si>
    <t>Net Profit Margin</t>
  </si>
  <si>
    <t>Current Ratio</t>
  </si>
  <si>
    <t>Debt to Equity Ratio</t>
  </si>
  <si>
    <t>Return on Assets (ROA)</t>
  </si>
  <si>
    <t>Return on Equity (ROE)</t>
  </si>
  <si>
    <t>Earnings Per Share (EPS)</t>
  </si>
  <si>
    <t>Quarterly Growth Rate</t>
  </si>
  <si>
    <t>FINANCIAL HIGHLIGHTS</t>
  </si>
  <si>
    <t>Total Assets</t>
  </si>
  <si>
    <t>Total Liabilities</t>
  </si>
  <si>
    <t>Shareholder Equity</t>
  </si>
  <si>
    <t>Cash &amp; Equivalents</t>
  </si>
  <si>
    <t>Working Capital</t>
  </si>
  <si>
    <t>PERFORMANCE TRENDS</t>
  </si>
  <si>
    <t>Revenue Growth (YoY)</t>
  </si>
  <si>
    <t>Profit Growth (YoY)</t>
  </si>
  <si>
    <t>Expense Ratio</t>
  </si>
  <si>
    <t>UPCOMING MILESTONES</t>
  </si>
  <si>
    <t>Q1 2026 Revenue Target</t>
  </si>
  <si>
    <t>Q1 2026 Profit Target</t>
  </si>
  <si>
    <t>Annual Growth Target</t>
  </si>
  <si>
    <t>→</t>
  </si>
  <si>
    <t>↑</t>
  </si>
  <si>
    <t>Report Generated: January 2026</t>
  </si>
  <si>
    <t>COMPANY BALANCE SHEET</t>
  </si>
  <si>
    <t>As of December 31, 2025</t>
  </si>
  <si>
    <t>ASSETS</t>
  </si>
  <si>
    <t>Change</t>
  </si>
  <si>
    <t>Current Assets</t>
  </si>
  <si>
    <t>Cash and Cash Equivalents</t>
  </si>
  <si>
    <t>Accounts Receivable</t>
  </si>
  <si>
    <t>Inventory</t>
  </si>
  <si>
    <t>Prepaid Expenses</t>
  </si>
  <si>
    <t>Other Current Assets</t>
  </si>
  <si>
    <t>Total Current Assets</t>
  </si>
  <si>
    <t>Non-Current Assets</t>
  </si>
  <si>
    <t>Property, Plant &amp; Equipment</t>
  </si>
  <si>
    <t>Less: Accumulated Depreciation</t>
  </si>
  <si>
    <t>Net Property, Plant &amp; Equipment</t>
  </si>
  <si>
    <t>Intangible Assets</t>
  </si>
  <si>
    <t>Goodwill</t>
  </si>
  <si>
    <t>Long-term Investments</t>
  </si>
  <si>
    <t>Other Non-Current Assets</t>
  </si>
  <si>
    <t>Total Non-Current Assets</t>
  </si>
  <si>
    <t>TOTAL ASSETS</t>
  </si>
  <si>
    <t>LIABILITIES &amp; EQUITY</t>
  </si>
  <si>
    <t>Current Liabilities</t>
  </si>
  <si>
    <t>Accounts Payable</t>
  </si>
  <si>
    <t>Short-term Debt</t>
  </si>
  <si>
    <t>Accrued Expenses</t>
  </si>
  <si>
    <t>Deferred Revenue</t>
  </si>
  <si>
    <t>Other Current Liabilities</t>
  </si>
  <si>
    <t>Total Current Liabilities</t>
  </si>
  <si>
    <t>Non-Current Liabilities</t>
  </si>
  <si>
    <t>Long-term Debt</t>
  </si>
  <si>
    <t>Deferred Tax Liabilities</t>
  </si>
  <si>
    <t>Pension Obligations</t>
  </si>
  <si>
    <t>Other Long-term Liabilities</t>
  </si>
  <si>
    <t>Total Non-Current Liabilities</t>
  </si>
  <si>
    <t>TOTAL LIABILITIES</t>
  </si>
  <si>
    <t>SHAREHOLDERS' EQUITY</t>
  </si>
  <si>
    <t>Common Stock</t>
  </si>
  <si>
    <t>Additional Paid-in Capital</t>
  </si>
  <si>
    <t>Retained Earnings</t>
  </si>
  <si>
    <t>Treasury Stock</t>
  </si>
  <si>
    <t>Other Comprehensive Income</t>
  </si>
  <si>
    <t>Total Shareholders' Equity</t>
  </si>
  <si>
    <t>TOTAL LIABILITIES &amp; EQUITY</t>
  </si>
  <si>
    <t>STATEMENT OF CASH FLOWS</t>
  </si>
  <si>
    <t>For the Year Ended December 31, 2025</t>
  </si>
  <si>
    <t>CASH FLOWS FROM OPERATING ACTIVITIES</t>
  </si>
  <si>
    <t>Net Income</t>
  </si>
  <si>
    <t>Adjustments to reconcile net income to net cash:</t>
  </si>
  <si>
    <t>Depreciation &amp; Amortization</t>
  </si>
  <si>
    <t>Deferred Income Taxes</t>
  </si>
  <si>
    <t>Stock-based Compensation</t>
  </si>
  <si>
    <t>Changes in Operating Assets &amp; Liabilities:</t>
  </si>
  <si>
    <t>Other Operating Activities</t>
  </si>
  <si>
    <t>Net Cash Provided by Operating Activities</t>
  </si>
  <si>
    <t>CASH FLOWS FROM INVESTING ACTIVITIES</t>
  </si>
  <si>
    <t>Capital Expenditures</t>
  </si>
  <si>
    <t>Purchase of Investments</t>
  </si>
  <si>
    <t>Sale of Investments</t>
  </si>
  <si>
    <t>Acquisition of Business</t>
  </si>
  <si>
    <t>Proceeds from Sale of Assets</t>
  </si>
  <si>
    <t>Other Investing Activities</t>
  </si>
  <si>
    <t>Net Cash Used in Investing Activities</t>
  </si>
  <si>
    <t>CASH FLOWS FROM FINANCING ACTIVITIES</t>
  </si>
  <si>
    <t>Proceeds from Issuance of Debt</t>
  </si>
  <si>
    <t>Repayment of Debt</t>
  </si>
  <si>
    <t>Proceeds from Issuance of Stock</t>
  </si>
  <si>
    <t>Repurchase of Stock</t>
  </si>
  <si>
    <t>Dividends Paid</t>
  </si>
  <si>
    <t>Other Financing Activities</t>
  </si>
  <si>
    <t>Net Cash Provided by (Used in) Financing Activities</t>
  </si>
  <si>
    <t>NET INCREASE (DECREASE) IN CASH</t>
  </si>
  <si>
    <t>Cash at Beginning of Period</t>
  </si>
  <si>
    <t>Cash at End of Period</t>
  </si>
  <si>
    <t>FINANCIAL RATIOS ANALYSIS</t>
  </si>
  <si>
    <t>Comprehensive Performance Metrics for 2025</t>
  </si>
  <si>
    <t>Ratio Category</t>
  </si>
  <si>
    <t>Ratio Name</t>
  </si>
  <si>
    <t>Formula</t>
  </si>
  <si>
    <t>2025 Value</t>
  </si>
  <si>
    <t>Industry Avg</t>
  </si>
  <si>
    <t>Assessment</t>
  </si>
  <si>
    <t>Liquidity Ratios</t>
  </si>
  <si>
    <t>Current Assets / Current Liabilities</t>
  </si>
  <si>
    <t>Quick Ratio (Acid-Test)</t>
  </si>
  <si>
    <t>(Current Assets - Inventory) / Current Liabilities</t>
  </si>
  <si>
    <t>Cash Ratio</t>
  </si>
  <si>
    <t>Cash &amp; Equivalents / Current Liabilities</t>
  </si>
  <si>
    <t>Profitability Ratios</t>
  </si>
  <si>
    <t>Gross Profit / Revenue</t>
  </si>
  <si>
    <t>Operating Income / Revenue</t>
  </si>
  <si>
    <t>Net Income / Revenue</t>
  </si>
  <si>
    <t>Net Income / Total Assets</t>
  </si>
  <si>
    <t>Net Income / Shareholders' Equity</t>
  </si>
  <si>
    <t>Leverage Ratios</t>
  </si>
  <si>
    <t>Total Debt / Total Equity</t>
  </si>
  <si>
    <t>Debt Ratio</t>
  </si>
  <si>
    <t>Total Debt / Total Assets</t>
  </si>
  <si>
    <t>Interest Coverage Ratio</t>
  </si>
  <si>
    <t>EBIT / Interest Expense</t>
  </si>
  <si>
    <t>Efficiency Ratios</t>
  </si>
  <si>
    <t>Asset Turnover Ratio</t>
  </si>
  <si>
    <t>Revenue / Total Assets</t>
  </si>
  <si>
    <t>Receivables Turnover</t>
  </si>
  <si>
    <t>Revenue / Average Receivables</t>
  </si>
  <si>
    <t>Market Ratios</t>
  </si>
  <si>
    <t>Price to Earnings (P/E)</t>
  </si>
  <si>
    <t>Market Price per Share / EPS</t>
  </si>
  <si>
    <t>Net Income / Shares Outstanding</t>
  </si>
  <si>
    <t>Dividend Yield</t>
  </si>
  <si>
    <t>Dividends per Share / Price per Share</t>
  </si>
  <si>
    <t>Days Sales Outstanding (DSO)</t>
  </si>
  <si>
    <t>365 / Receivables Turnover</t>
  </si>
  <si>
    <t>Dividend Payout Ratio</t>
  </si>
  <si>
    <t>Dividends per Share / EPS</t>
  </si>
  <si>
    <t>QUARTERLY FINANCIAL ANALYSIS</t>
  </si>
  <si>
    <t>2025 Performance Trends and Comparisons</t>
  </si>
  <si>
    <t>Quarter</t>
  </si>
  <si>
    <t>QoQ Growth</t>
  </si>
  <si>
    <t>YoY Growth</t>
  </si>
  <si>
    <t>Revenue Analysis</t>
  </si>
  <si>
    <t>Revenue Growth Rate</t>
  </si>
  <si>
    <t>Profitability Analysis</t>
  </si>
  <si>
    <t>Gross Profit</t>
  </si>
  <si>
    <t>Gross Margin %</t>
  </si>
  <si>
    <t>Operating Income</t>
  </si>
  <si>
    <t>Operating Margin %</t>
  </si>
  <si>
    <t>Net Margin %</t>
  </si>
  <si>
    <t>Expense Analysis</t>
  </si>
  <si>
    <t>COGS</t>
  </si>
  <si>
    <t>COGS % of Revenue</t>
  </si>
  <si>
    <t>Operating Expenses</t>
  </si>
  <si>
    <t>OpEx % of Revenue</t>
  </si>
  <si>
    <t>Marketing Expenses</t>
  </si>
  <si>
    <t>R&amp;D Expenses</t>
  </si>
  <si>
    <t>Key Metrics</t>
  </si>
  <si>
    <t>Operating Cash Flow</t>
  </si>
  <si>
    <t>Free Cash Flow</t>
  </si>
  <si>
    <t>Quarterly Highlights</t>
  </si>
  <si>
    <t>Highest Revenue Quarter</t>
  </si>
  <si>
    <t>Highest Profit Quarter</t>
  </si>
  <si>
    <t>Most Efficient Quarter</t>
  </si>
  <si>
    <t>Strongest Growth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</si>
</sst>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164" fontId="0" fillId="0" borderId="0" xfId="0" applyNumberFormat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0" fontId="5" fillId="0" borderId="0" xfId="0" applyFont="1"/>
    <xf numFmtId="0" fontId="6" fillId="0" borderId="0" xfId="0" applyFont="1"/>
    <xf numFmtId="0" fontId="4" fillId="8" borderId="0" xfId="0" applyFont="1" applyFill="1"/>
    <xf numFmtId="165" fontId="0" fillId="0" borderId="0" xfId="0" applyNumberFormat="1"/>
    <xf numFmtId="2" fontId="0" fillId="0" borderId="0" xfId="0" applyNumberFormat="1"/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Income_Statement!$B$10:$E$10</c:f>
              <c:numCache>
                <c:formatCode>"$"#,##0</c:formatCode>
                <c:ptCount val="4"/>
                <c:pt idx="0">
                  <c:v>2095000</c:v>
                </c:pt>
                <c:pt idx="1">
                  <c:v>2262000</c:v>
                </c:pt>
                <c:pt idx="2">
                  <c:v>2410000</c:v>
                </c:pt>
                <c:pt idx="3">
                  <c:v>2645000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CA8-446D-AEE0-E11F33D57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8682688"/>
        <c:axId val="1088931712"/>
      </c:lineChart>
      <c:catAx>
        <c:axId val="1228682688"/>
        <c:scaling>
          <c:orientation val="minMax"/>
        </c:scaling>
        <c:delete val="0"/>
        <c:axPos val="b"/>
        <c:majorTickMark val="out"/>
        <c:minorTickMark val="none"/>
        <c:tickLblPos val="nextTo"/>
        <c:crossAx val="1088931712"/>
        <c:crosses val="autoZero"/>
        <c:auto val="1"/>
        <c:lblAlgn val="ctr"/>
        <c:lblOffset val="100"/>
        <c:noMultiLvlLbl val="0"/>
      </c:catAx>
      <c:valAx>
        <c:axId val="1088931712"/>
        <c:scaling>
          <c:orientation val="minMax"/>
        </c:scaling>
        <c:delete val="0"/>
        <c:axPos val="l"/>
        <c:majorGridlines/>
        <c:numFmt formatCode="&quot;$&quot;#,##0" sourceLinked="1"/>
        <c:majorTickMark val="out"/>
        <c:minorTickMark val="none"/>
        <c:tickLblPos val="nextTo"/>
        <c:crossAx val="1228682688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Income_Statement!$B$41:$E$41</c:f>
              <c:numCache>
                <c:formatCode>"$"#,##0</c:formatCode>
                <c:ptCount val="4"/>
                <c:pt idx="0">
                  <c:v>276500</c:v>
                </c:pt>
                <c:pt idx="1">
                  <c:v>344440</c:v>
                </c:pt>
                <c:pt idx="2">
                  <c:v>398950</c:v>
                </c:pt>
                <c:pt idx="3">
                  <c:v>505600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612-4752-B909-08A925959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6835536"/>
        <c:axId val="1225617008"/>
      </c:barChart>
      <c:catAx>
        <c:axId val="1186835536"/>
        <c:scaling>
          <c:orientation val="minMax"/>
        </c:scaling>
        <c:delete val="0"/>
        <c:axPos val="b"/>
        <c:majorTickMark val="out"/>
        <c:minorTickMark val="none"/>
        <c:tickLblPos val="nextTo"/>
        <c:crossAx val="1225617008"/>
        <c:crosses val="autoZero"/>
        <c:auto val="1"/>
        <c:lblAlgn val="ctr"/>
        <c:lblOffset val="100"/>
        <c:noMultiLvlLbl val="0"/>
      </c:catAx>
      <c:valAx>
        <c:axId val="1225617008"/>
        <c:scaling>
          <c:orientation val="minMax"/>
        </c:scaling>
        <c:delete val="0"/>
        <c:axPos val="l"/>
        <c:majorGridlines/>
        <c:numFmt formatCode="&quot;$&quot;#,##0" sourceLinked="1"/>
        <c:majorTickMark val="out"/>
        <c:minorTickMark val="none"/>
        <c:tickLblPos val="nextTo"/>
        <c:crossAx val="1186835536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val>
            <c:numRef>
              <c:f>Dashboard!$B$6:$B$9</c:f>
              <c:numCache>
                <c:formatCode>0.0%</c:formatCode>
                <c:ptCount val="4"/>
                <c:pt idx="0" formatCode="&quot;$&quot;#,##0">
                  <c:v>9412000</c:v>
                </c:pt>
                <c:pt idx="1">
                  <c:v>0.52029324266893329</c:v>
                </c:pt>
                <c:pt idx="2">
                  <c:v>0.2056948576285593</c:v>
                </c:pt>
                <c:pt idx="3">
                  <c:v>0.17097641308967276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1-4BFB-91FC-BBAB8A4A5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Dashboard!$B$18:$B$20</c:f>
              <c:numCache>
                <c:formatCode>"$"#,##0</c:formatCode>
                <c:ptCount val="3"/>
                <c:pt idx="0">
                  <c:v>8500000</c:v>
                </c:pt>
                <c:pt idx="1">
                  <c:v>4200000</c:v>
                </c:pt>
                <c:pt idx="2">
                  <c:v>4300000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B-4EAB-8476-B5504695C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8616752"/>
        <c:axId val="1088618832"/>
      </c:barChart>
      <c:catAx>
        <c:axId val="1088616752"/>
        <c:scaling>
          <c:orientation val="minMax"/>
        </c:scaling>
        <c:delete val="0"/>
        <c:axPos val="b"/>
        <c:majorTickMark val="out"/>
        <c:minorTickMark val="none"/>
        <c:tickLblPos val="nextTo"/>
        <c:crossAx val="1088618832"/>
        <c:crosses val="autoZero"/>
        <c:auto val="1"/>
        <c:lblAlgn val="ctr"/>
        <c:lblOffset val="100"/>
        <c:noMultiLvlLbl val="0"/>
      </c:catAx>
      <c:valAx>
        <c:axId val="1088618832"/>
        <c:scaling>
          <c:orientation val="minMax"/>
        </c:scaling>
        <c:delete val="0"/>
        <c:axPos val="l"/>
        <c:majorGridlines/>
        <c:numFmt formatCode="&quot;$&quot;#,##0" sourceLinked="1"/>
        <c:majorTickMark val="out"/>
        <c:minorTickMark val="none"/>
        <c:tickLblPos val="nextTo"/>
        <c:crossAx val="1088616752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19</xdr:row>
      <xdr:rowOff>104775</xdr:rowOff>
    </xdr:from>
    <xdr:to>
      <xdr:col>8</xdr:col>
      <xdr:colOff>504825</xdr:colOff>
      <xdr:row>32</xdr:row>
      <xdr:rowOff>168275</xdr:rowOff>
    </xdr:to>
    <xdr:graphicFrame macro="">
      <xdr:nvGraphicFramePr>
        <xdr:cNvPr id="2" name="Quarterly_Revenue_Trend">
          <a:extLst>
            <a:ext uri="{FF2B5EF4-FFF2-40B4-BE49-F238E27FC236}">
              <a16:creationId xmlns:a16="http://schemas.microsoft.com/office/drawing/2014/main" id="{2303A857-9D12-42D5-B3E2-7F2AAFBFB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25400</xdr:colOff>
      <xdr:row>36</xdr:row>
      <xdr:rowOff>41275</xdr:rowOff>
    </xdr:from>
    <xdr:to>
      <xdr:col>8</xdr:col>
      <xdr:colOff>504825</xdr:colOff>
      <xdr:row>49</xdr:row>
      <xdr:rowOff>104775</xdr:rowOff>
    </xdr:to>
    <xdr:graphicFrame macro="">
      <xdr:nvGraphicFramePr>
        <xdr:cNvPr id="3" name="Quarterly_Net_Income">
          <a:extLst>
            <a:ext uri="{FF2B5EF4-FFF2-40B4-BE49-F238E27FC236}">
              <a16:creationId xmlns:a16="http://schemas.microsoft.com/office/drawing/2014/main" id="{1904D802-0FFF-4BF6-BC1A-B07D49BC4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168275</xdr:colOff>
      <xdr:row>2</xdr:row>
      <xdr:rowOff>63500</xdr:rowOff>
    </xdr:from>
    <xdr:to>
      <xdr:col>12</xdr:col>
      <xdr:colOff>320675</xdr:colOff>
      <xdr:row>15</xdr:row>
      <xdr:rowOff>50800</xdr:rowOff>
    </xdr:to>
    <xdr:graphicFrame macro="">
      <xdr:nvGraphicFramePr>
        <xdr:cNvPr id="2" name="KPI_Distribution">
          <a:extLst>
            <a:ext uri="{FF2B5EF4-FFF2-40B4-BE49-F238E27FC236}">
              <a16:creationId xmlns:a16="http://schemas.microsoft.com/office/drawing/2014/main" id="{3D13C20D-4DCA-4AA0-9C46-A109C28C5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168275</xdr:colOff>
      <xdr:row>18</xdr:row>
      <xdr:rowOff>38100</xdr:rowOff>
    </xdr:from>
    <xdr:to>
      <xdr:col>12</xdr:col>
      <xdr:colOff>320675</xdr:colOff>
      <xdr:row>30</xdr:row>
      <xdr:rowOff>139700</xdr:rowOff>
    </xdr:to>
    <xdr:graphicFrame macro="">
      <xdr:nvGraphicFramePr>
        <xdr:cNvPr id="3" name="Asset_Liability_Equity">
          <a:extLst>
            <a:ext uri="{FF2B5EF4-FFF2-40B4-BE49-F238E27FC236}">
              <a16:creationId xmlns:a16="http://schemas.microsoft.com/office/drawing/2014/main" id="{7A572BD6-065D-4F82-8B7A-82371F07BD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E4F6-BAB8-4C4C-BAEA-0D045A9DF493}">
  <dimension ref="A1:H40"/>
  <sheetViews>
    <sheetView workbookViewId="0">
      <selection activeCell="B6" sqref="B6:H40"/>
    </sheetView>
  </sheetViews>
  <sheetFormatPr defaultRowHeight="15" x14ac:dyDescent="0.25"/>
  <sheetData>
    <row r="1" spans="1:8" x14ac:dyDescent="0.25">
      <c r="A1" t="s">
        <v>186</v>
      </c>
    </row>
    <row r="2" spans="1:8" x14ac:dyDescent="0.25">
      <c r="A2" t="s">
        <v>187</v>
      </c>
    </row>
    <row r="4" spans="1:8" x14ac:dyDescent="0.25">
      <c r="A4" t="s">
        <v>188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189</v>
      </c>
      <c r="H4" t="s">
        <v>190</v>
      </c>
    </row>
    <row r="5" spans="1:8" x14ac:dyDescent="0.25">
      <c r="A5" t="s">
        <v>191</v>
      </c>
    </row>
    <row r="6" spans="1:8" x14ac:dyDescent="0.25">
      <c r="A6" t="s">
        <v>9</v>
      </c>
      <c r="B6">
        <f>Income_Statement!B6</f>
        <v>1250000</v>
      </c>
      <c r="C6">
        <f>Income_Statement!C6</f>
        <v>1350000</v>
      </c>
      <c r="D6">
        <f>Income_Statement!D6</f>
        <v>1420000</v>
      </c>
      <c r="E6">
        <f>Income_Statement!E6</f>
        <v>1580000</v>
      </c>
      <c r="F6">
        <f>SUM(B6:E6)</f>
        <v>5600000</v>
      </c>
    </row>
    <row r="7" spans="1:8" x14ac:dyDescent="0.25">
      <c r="A7" t="s">
        <v>10</v>
      </c>
      <c r="B7">
        <f>Income_Statement!B7</f>
        <v>450000</v>
      </c>
      <c r="C7">
        <f>Income_Statement!C7</f>
        <v>480000</v>
      </c>
      <c r="D7">
        <f>Income_Statement!D7</f>
        <v>520000</v>
      </c>
      <c r="E7">
        <f>Income_Statement!E7</f>
        <v>550000</v>
      </c>
      <c r="F7">
        <f>SUM(B7:E7)</f>
        <v>2000000</v>
      </c>
    </row>
    <row r="8" spans="1:8" x14ac:dyDescent="0.25">
      <c r="A8" t="s">
        <v>11</v>
      </c>
      <c r="B8">
        <f>Income_Statement!B8</f>
        <v>320000</v>
      </c>
      <c r="C8">
        <f>Income_Statement!C8</f>
        <v>350000</v>
      </c>
      <c r="D8">
        <f>Income_Statement!D8</f>
        <v>380000</v>
      </c>
      <c r="E8">
        <f>Income_Statement!E8</f>
        <v>420000</v>
      </c>
      <c r="F8">
        <f>SUM(B8:E8)</f>
        <v>1470000</v>
      </c>
    </row>
    <row r="9" spans="1:8" x14ac:dyDescent="0.25">
      <c r="A9" t="s">
        <v>12</v>
      </c>
      <c r="B9">
        <f>Income_Statement!B9</f>
        <v>75000</v>
      </c>
      <c r="C9">
        <f>Income_Statement!C9</f>
        <v>82000</v>
      </c>
      <c r="D9">
        <f>Income_Statement!D9</f>
        <v>90000</v>
      </c>
      <c r="E9">
        <f>Income_Statement!E9</f>
        <v>95000</v>
      </c>
      <c r="F9">
        <f>SUM(B9:E9)</f>
        <v>342000</v>
      </c>
    </row>
    <row r="10" spans="1:8" x14ac:dyDescent="0.25">
      <c r="A10" t="s">
        <v>13</v>
      </c>
      <c r="B10">
        <f>Income_Statement!B10</f>
        <v>2095000</v>
      </c>
      <c r="C10">
        <f>Income_Statement!C10</f>
        <v>2262000</v>
      </c>
      <c r="D10">
        <f>Income_Statement!D10</f>
        <v>2410000</v>
      </c>
      <c r="E10">
        <f>Income_Statement!E10</f>
        <v>2645000</v>
      </c>
      <c r="F10">
        <f>SUM(B10:E10)</f>
        <v>9412000</v>
      </c>
    </row>
    <row r="11" spans="1:8" x14ac:dyDescent="0.25">
      <c r="A11" t="s">
        <v>192</v>
      </c>
      <c r="B11">
        <f>0</f>
        <v>0</v>
      </c>
      <c r="C11">
        <f>(C10-B10)/B10</f>
        <v>7.9713603818615753E-2</v>
      </c>
      <c r="D11">
        <f>(D10-C10)/C10</f>
        <v>6.5428824049513709E-2</v>
      </c>
      <c r="E11">
        <f>(E10-D10)/D10</f>
        <v>9.7510373443983403E-2</v>
      </c>
      <c r="F11">
        <f>(E10-B10)/B10</f>
        <v>0.26252983293556087</v>
      </c>
    </row>
    <row r="13" spans="1:8" x14ac:dyDescent="0.25">
      <c r="A13" t="s">
        <v>193</v>
      </c>
    </row>
    <row r="14" spans="1:8" x14ac:dyDescent="0.25">
      <c r="A14" t="s">
        <v>194</v>
      </c>
      <c r="B14">
        <f>Income_Statement!B18</f>
        <v>1045000</v>
      </c>
      <c r="C14">
        <f>Income_Statement!C18</f>
        <v>1162000</v>
      </c>
      <c r="D14">
        <f>Income_Statement!D18</f>
        <v>1260000</v>
      </c>
      <c r="E14">
        <f>Income_Statement!E18</f>
        <v>1430000</v>
      </c>
      <c r="F14">
        <f>SUM(B14:E14)</f>
        <v>4897000</v>
      </c>
    </row>
    <row r="15" spans="1:8" x14ac:dyDescent="0.25">
      <c r="A15" t="s">
        <v>195</v>
      </c>
      <c r="B15">
        <f>B14/B10</f>
        <v>0.49880668257756561</v>
      </c>
      <c r="C15">
        <f>C14/C10</f>
        <v>0.51370468611847919</v>
      </c>
      <c r="D15">
        <f>D14/D10</f>
        <v>0.52282157676348551</v>
      </c>
      <c r="E15">
        <f>E14/E10</f>
        <v>0.54064272211720232</v>
      </c>
      <c r="F15">
        <f>F14/F10</f>
        <v>0.52029324266893329</v>
      </c>
    </row>
    <row r="16" spans="1:8" x14ac:dyDescent="0.25">
      <c r="A16" t="s">
        <v>196</v>
      </c>
      <c r="B16">
        <f>Income_Statement!B29</f>
        <v>355000</v>
      </c>
      <c r="C16">
        <f>Income_Statement!C29</f>
        <v>438000</v>
      </c>
      <c r="D16">
        <f>Income_Statement!D29</f>
        <v>505000</v>
      </c>
      <c r="E16">
        <f>Income_Statement!E29</f>
        <v>638000</v>
      </c>
      <c r="F16">
        <f>SUM(B16:E16)</f>
        <v>1936000</v>
      </c>
    </row>
    <row r="17" spans="1:6" x14ac:dyDescent="0.25">
      <c r="A17" t="s">
        <v>197</v>
      </c>
      <c r="B17">
        <f>B16/B10</f>
        <v>0.16945107398568018</v>
      </c>
      <c r="C17">
        <f>C16/C10</f>
        <v>0.19363395225464192</v>
      </c>
      <c r="D17">
        <f>D16/D10</f>
        <v>0.2095435684647303</v>
      </c>
      <c r="E17">
        <f>E16/E10</f>
        <v>0.24120982986767486</v>
      </c>
      <c r="F17">
        <f>F16/F10</f>
        <v>0.2056948576285593</v>
      </c>
    </row>
    <row r="18" spans="1:6" x14ac:dyDescent="0.25">
      <c r="A18" t="s">
        <v>118</v>
      </c>
      <c r="B18">
        <f>Income_Statement!B41</f>
        <v>276500</v>
      </c>
      <c r="C18">
        <f>Income_Statement!C41</f>
        <v>344440</v>
      </c>
      <c r="D18">
        <f>Income_Statement!D41</f>
        <v>398950</v>
      </c>
      <c r="E18">
        <f>Income_Statement!E41</f>
        <v>505600</v>
      </c>
      <c r="F18">
        <f>SUM(B18:E18)</f>
        <v>1525490</v>
      </c>
    </row>
    <row r="19" spans="1:6" x14ac:dyDescent="0.25">
      <c r="A19" t="s">
        <v>198</v>
      </c>
      <c r="B19">
        <f>B18/B10</f>
        <v>0.13198090692124104</v>
      </c>
      <c r="C19">
        <f>C18/C10</f>
        <v>0.15227232537577365</v>
      </c>
      <c r="D19">
        <f>D18/D10</f>
        <v>0.16553941908713693</v>
      </c>
      <c r="E19">
        <f>E18/E10</f>
        <v>0.19115311909262761</v>
      </c>
      <c r="F19">
        <f>F18/F10</f>
        <v>0.16207926051848703</v>
      </c>
    </row>
    <row r="21" spans="1:6" x14ac:dyDescent="0.25">
      <c r="A21" t="s">
        <v>199</v>
      </c>
    </row>
    <row r="22" spans="1:6" x14ac:dyDescent="0.25">
      <c r="A22" t="s">
        <v>200</v>
      </c>
      <c r="B22">
        <f>Income_Statement!B16</f>
        <v>1050000</v>
      </c>
      <c r="C22">
        <f>Income_Statement!C16</f>
        <v>1100000</v>
      </c>
      <c r="D22">
        <f>Income_Statement!D16</f>
        <v>1150000</v>
      </c>
      <c r="E22">
        <f>Income_Statement!E16</f>
        <v>1215000</v>
      </c>
      <c r="F22">
        <f>SUM(B22:E22)</f>
        <v>4515000</v>
      </c>
    </row>
    <row r="23" spans="1:6" x14ac:dyDescent="0.25">
      <c r="A23" t="s">
        <v>201</v>
      </c>
      <c r="B23">
        <f>B22/B10</f>
        <v>0.50119331742243434</v>
      </c>
      <c r="C23">
        <f>C22/C10</f>
        <v>0.48629531388152075</v>
      </c>
      <c r="D23">
        <f>D22/D10</f>
        <v>0.47717842323651455</v>
      </c>
      <c r="E23">
        <f>E22/E10</f>
        <v>0.45935727788279773</v>
      </c>
      <c r="F23">
        <f>F22/F10</f>
        <v>0.47970675733106671</v>
      </c>
    </row>
    <row r="24" spans="1:6" x14ac:dyDescent="0.25">
      <c r="A24" t="s">
        <v>202</v>
      </c>
      <c r="B24">
        <f>Income_Statement!B27</f>
        <v>690000</v>
      </c>
      <c r="C24">
        <f>Income_Statement!C27</f>
        <v>724000</v>
      </c>
      <c r="D24">
        <f>Income_Statement!D27</f>
        <v>755000</v>
      </c>
      <c r="E24">
        <f>Income_Statement!E27</f>
        <v>792000</v>
      </c>
      <c r="F24">
        <f>SUM(B24:E24)</f>
        <v>2961000</v>
      </c>
    </row>
    <row r="25" spans="1:6" x14ac:dyDescent="0.25">
      <c r="A25" t="s">
        <v>203</v>
      </c>
      <c r="B25">
        <f>B24/B10</f>
        <v>0.32935560859188545</v>
      </c>
      <c r="C25">
        <f>C24/C10</f>
        <v>0.32007073386383733</v>
      </c>
      <c r="D25">
        <f>D24/D10</f>
        <v>0.31327800829875518</v>
      </c>
      <c r="E25">
        <f>E24/E10</f>
        <v>0.2994328922495274</v>
      </c>
      <c r="F25">
        <f>F24/F10</f>
        <v>0.31459838504037402</v>
      </c>
    </row>
    <row r="26" spans="1:6" x14ac:dyDescent="0.25">
      <c r="A26" t="s">
        <v>204</v>
      </c>
      <c r="B26">
        <f>Income_Statement!B21</f>
        <v>85000</v>
      </c>
      <c r="C26">
        <f>Income_Statement!C21</f>
        <v>92000</v>
      </c>
      <c r="D26">
        <f>Income_Statement!D21</f>
        <v>98000</v>
      </c>
      <c r="E26">
        <f>Income_Statement!E21</f>
        <v>105000</v>
      </c>
      <c r="F26">
        <f>SUM(B26:E26)</f>
        <v>380000</v>
      </c>
    </row>
    <row r="27" spans="1:6" x14ac:dyDescent="0.25">
      <c r="A27" t="s">
        <v>205</v>
      </c>
      <c r="B27">
        <f>Income_Statement!B22</f>
        <v>120000</v>
      </c>
      <c r="C27">
        <f>Income_Statement!C22</f>
        <v>125000</v>
      </c>
      <c r="D27">
        <f>Income_Statement!D22</f>
        <v>130000</v>
      </c>
      <c r="E27">
        <f>Income_Statement!E22</f>
        <v>135000</v>
      </c>
      <c r="F27">
        <f>SUM(B27:E27)</f>
        <v>510000</v>
      </c>
    </row>
    <row r="29" spans="1:6" x14ac:dyDescent="0.25">
      <c r="A29" t="s">
        <v>206</v>
      </c>
    </row>
    <row r="30" spans="1:6" x14ac:dyDescent="0.25">
      <c r="A30" t="s">
        <v>52</v>
      </c>
      <c r="B30">
        <f>B18/125000</f>
        <v>2.2120000000000002</v>
      </c>
      <c r="C30">
        <f>C18/125000</f>
        <v>2.7555200000000002</v>
      </c>
      <c r="D30">
        <f>D18/125000</f>
        <v>3.1916000000000002</v>
      </c>
      <c r="E30">
        <f>E18/125000</f>
        <v>4.0448000000000004</v>
      </c>
      <c r="F30">
        <f>F18/500000</f>
        <v>3.05098</v>
      </c>
    </row>
    <row r="31" spans="1:6" x14ac:dyDescent="0.25">
      <c r="A31" t="s">
        <v>207</v>
      </c>
      <c r="B31">
        <f>B18*0.8</f>
        <v>221200</v>
      </c>
      <c r="C31">
        <f>C18*0.8</f>
        <v>275552</v>
      </c>
      <c r="D31">
        <f>D18*0.8</f>
        <v>319160</v>
      </c>
      <c r="E31">
        <f>E18*0.8</f>
        <v>404480</v>
      </c>
      <c r="F31">
        <f>F18*0.8</f>
        <v>1220392</v>
      </c>
    </row>
    <row r="32" spans="1:6" x14ac:dyDescent="0.25">
      <c r="A32" t="s">
        <v>208</v>
      </c>
      <c r="B32">
        <f>B31-50000</f>
        <v>171200</v>
      </c>
      <c r="C32">
        <f>C31-55000</f>
        <v>220552</v>
      </c>
      <c r="D32">
        <f>D31-60000</f>
        <v>259160</v>
      </c>
      <c r="E32">
        <f>E31-65000</f>
        <v>339480</v>
      </c>
      <c r="F32">
        <f>F31-230000</f>
        <v>990392</v>
      </c>
    </row>
    <row r="33" spans="1:6" x14ac:dyDescent="0.25">
      <c r="A33" t="s">
        <v>59</v>
      </c>
      <c r="B33">
        <f>Balance_Sheet!B11-Balance_Sheet!B32</f>
        <v>1600000</v>
      </c>
      <c r="C33">
        <f>B33*1.05</f>
        <v>1680000</v>
      </c>
      <c r="D33">
        <f>C33*1.03</f>
        <v>1730400</v>
      </c>
      <c r="E33">
        <f>D33*1.02</f>
        <v>1765008</v>
      </c>
      <c r="F33">
        <f>E33</f>
        <v>1765008</v>
      </c>
    </row>
    <row r="34" spans="1:6" x14ac:dyDescent="0.25">
      <c r="A34" t="s">
        <v>48</v>
      </c>
      <c r="B34">
        <f>Balance_Sheet!B11/Balance_Sheet!B32</f>
        <v>2.1851851851851851</v>
      </c>
      <c r="C34">
        <f>B34*1.02</f>
        <v>2.2288888888888887</v>
      </c>
      <c r="D34">
        <f>C34*1.01</f>
        <v>2.2511777777777775</v>
      </c>
      <c r="E34">
        <f>D34*1.01</f>
        <v>2.2736895555555554</v>
      </c>
      <c r="F34">
        <f>E34</f>
        <v>2.2736895555555554</v>
      </c>
    </row>
    <row r="36" spans="1:6" x14ac:dyDescent="0.25">
      <c r="A36" t="s">
        <v>209</v>
      </c>
    </row>
    <row r="37" spans="1:6" x14ac:dyDescent="0.25">
      <c r="A37" t="s">
        <v>210</v>
      </c>
      <c r="B37" t="str">
        <f>INDEX(B4:E4,MATCH(MAX(B10:E10),B10:E10,0))</f>
        <v>Q4 2025</v>
      </c>
    </row>
    <row r="38" spans="1:6" x14ac:dyDescent="0.25">
      <c r="A38" t="s">
        <v>211</v>
      </c>
      <c r="B38" t="str">
        <f>INDEX(B4:E4,MATCH(MAX(B18:E18),B18:E18,0))</f>
        <v>Q4 2025</v>
      </c>
    </row>
    <row r="39" spans="1:6" x14ac:dyDescent="0.25">
      <c r="A39" t="s">
        <v>212</v>
      </c>
      <c r="B39" t="str">
        <f>INDEX(B4:E4,MATCH(MAX(B15:E15),B15:E15,0))</f>
        <v>Q4 2025</v>
      </c>
    </row>
    <row r="40" spans="1:6" x14ac:dyDescent="0.25">
      <c r="A40" t="s">
        <v>213</v>
      </c>
      <c r="B40" t="str">
        <f>INDEX(B4:E4,MATCH(MAX(B11:E11),B11:E11,0))</f>
        <v>Q4 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C9969-27E9-4554-95E7-8D44EDFEF7E0}">
  <dimension ref="A1:F23"/>
  <sheetViews>
    <sheetView workbookViewId="0">
      <selection activeCell="A18" sqref="A18:F23"/>
    </sheetView>
  </sheetViews>
  <sheetFormatPr defaultRowHeight="15" x14ac:dyDescent="0.25"/>
  <sheetData>
    <row r="1" spans="1:6" x14ac:dyDescent="0.25">
      <c r="A1" t="s">
        <v>145</v>
      </c>
    </row>
    <row r="2" spans="1:6" x14ac:dyDescent="0.25">
      <c r="A2" t="s">
        <v>146</v>
      </c>
    </row>
    <row r="4" spans="1:6" x14ac:dyDescent="0.25">
      <c r="A4" t="s">
        <v>147</v>
      </c>
      <c r="B4" t="s">
        <v>148</v>
      </c>
      <c r="C4" t="s">
        <v>149</v>
      </c>
      <c r="D4" t="s">
        <v>150</v>
      </c>
      <c r="E4" t="s">
        <v>151</v>
      </c>
      <c r="F4" t="s">
        <v>152</v>
      </c>
    </row>
    <row r="5" spans="1:6" x14ac:dyDescent="0.25">
      <c r="A5" t="s">
        <v>153</v>
      </c>
      <c r="B5" t="s">
        <v>48</v>
      </c>
      <c r="C5" t="s">
        <v>154</v>
      </c>
      <c r="D5">
        <f>Balance_Sheet!B11/Balance_Sheet!B32</f>
        <v>2.1851851851851851</v>
      </c>
      <c r="E5">
        <v>2</v>
      </c>
      <c r="F5" t="str">
        <f>IF(D5&gt;=E5,"Strong","Weak")</f>
        <v>Strong</v>
      </c>
    </row>
    <row r="6" spans="1:6" x14ac:dyDescent="0.25">
      <c r="B6" t="s">
        <v>155</v>
      </c>
      <c r="C6" t="s">
        <v>156</v>
      </c>
      <c r="D6">
        <f>(Balance_Sheet!B11-Balance_Sheet!B8)/Balance_Sheet!B32</f>
        <v>1.7037037037037037</v>
      </c>
      <c r="E6">
        <v>1.5</v>
      </c>
      <c r="F6" t="str">
        <f>IF(D6&gt;=E6,"Good","Poor")</f>
        <v>Good</v>
      </c>
    </row>
    <row r="7" spans="1:6" x14ac:dyDescent="0.25">
      <c r="B7" t="s">
        <v>157</v>
      </c>
      <c r="C7" t="s">
        <v>158</v>
      </c>
      <c r="D7">
        <f>Balance_Sheet!B6/Balance_Sheet!B32</f>
        <v>0.92592592592592593</v>
      </c>
      <c r="E7">
        <v>0.4</v>
      </c>
      <c r="F7" t="str">
        <f>IF(D7&gt;=E7,"Excellent","Adequate")</f>
        <v>Excellent</v>
      </c>
    </row>
    <row r="8" spans="1:6" x14ac:dyDescent="0.25">
      <c r="A8" t="s">
        <v>159</v>
      </c>
      <c r="B8" t="s">
        <v>45</v>
      </c>
      <c r="C8" t="s">
        <v>160</v>
      </c>
      <c r="D8">
        <f>Income_Statement!F18/Income_Statement!F10</f>
        <v>0.52029324266893329</v>
      </c>
      <c r="E8">
        <v>0.4</v>
      </c>
      <c r="F8" t="str">
        <f>IF(D8&gt;=E8,"Good","Needs Improvement")</f>
        <v>Good</v>
      </c>
    </row>
    <row r="9" spans="1:6" x14ac:dyDescent="0.25">
      <c r="B9" t="s">
        <v>46</v>
      </c>
      <c r="C9" t="s">
        <v>161</v>
      </c>
      <c r="D9">
        <f>Income_Statement!F29/Income_Statement!F10</f>
        <v>0.2056948576285593</v>
      </c>
      <c r="E9">
        <v>0.25</v>
      </c>
      <c r="F9" t="str">
        <f>IF(D9&gt;=E9,"Good","Needs Improvement")</f>
        <v>Needs Improvement</v>
      </c>
    </row>
    <row r="10" spans="1:6" x14ac:dyDescent="0.25">
      <c r="B10" t="s">
        <v>47</v>
      </c>
      <c r="C10" t="s">
        <v>162</v>
      </c>
      <c r="D10">
        <f>Income_Statement!F41/Income_Statement!F10</f>
        <v>0.17097641308967276</v>
      </c>
      <c r="E10">
        <v>0.18</v>
      </c>
      <c r="F10" t="str">
        <f>IF(D10&gt;=E10,"Good","Needs Improvement")</f>
        <v>Needs Improvement</v>
      </c>
    </row>
    <row r="11" spans="1:6" x14ac:dyDescent="0.25">
      <c r="B11" t="s">
        <v>50</v>
      </c>
      <c r="C11" t="s">
        <v>163</v>
      </c>
      <c r="D11">
        <f>Income_Statement!F41/Balance_Sheet!B23</f>
        <v>0.18711976744186046</v>
      </c>
      <c r="E11">
        <v>0.1</v>
      </c>
      <c r="F11" t="str">
        <f>IF(D11&gt;=E11,"Good","Poor")</f>
        <v>Good</v>
      </c>
    </row>
    <row r="12" spans="1:6" x14ac:dyDescent="0.25">
      <c r="B12" t="s">
        <v>51</v>
      </c>
      <c r="C12" t="s">
        <v>164</v>
      </c>
      <c r="D12">
        <f>Income_Statement!F41/Balance_Sheet!B49</f>
        <v>0.36993793103448275</v>
      </c>
      <c r="E12">
        <v>0.18</v>
      </c>
      <c r="F12" t="str">
        <f>IF(D12&gt;=E12,"Excellent","Good")</f>
        <v>Excellent</v>
      </c>
    </row>
    <row r="13" spans="1:6" x14ac:dyDescent="0.25">
      <c r="A13" t="s">
        <v>165</v>
      </c>
      <c r="B13" t="s">
        <v>49</v>
      </c>
      <c r="C13" t="s">
        <v>166</v>
      </c>
      <c r="D13">
        <f>Balance_Sheet!B41/Balance_Sheet!B49</f>
        <v>0.97701149425287359</v>
      </c>
      <c r="E13">
        <v>0.75</v>
      </c>
      <c r="F13" t="str">
        <f>IF(D13&lt;=E13,"Good","High")</f>
        <v>High</v>
      </c>
    </row>
    <row r="14" spans="1:6" x14ac:dyDescent="0.25">
      <c r="B14" t="s">
        <v>167</v>
      </c>
      <c r="C14" t="s">
        <v>168</v>
      </c>
      <c r="D14">
        <f>Balance_Sheet!B41/Balance_Sheet!B23</f>
        <v>0.4941860465116279</v>
      </c>
      <c r="E14">
        <v>0.55000000000000004</v>
      </c>
      <c r="F14" t="str">
        <f>IF(D14&lt;=E14,"Good","High")</f>
        <v>Good</v>
      </c>
    </row>
    <row r="15" spans="1:6" x14ac:dyDescent="0.25">
      <c r="B15" t="s">
        <v>169</v>
      </c>
      <c r="C15" t="s">
        <v>170</v>
      </c>
      <c r="D15">
        <f>Income_Statement!F29/Income_Statement!F33</f>
        <v>18.264150943396228</v>
      </c>
      <c r="E15">
        <v>5</v>
      </c>
      <c r="F15" t="str">
        <f>IF(D15&gt;=E15,"Strong","Weak")</f>
        <v>Strong</v>
      </c>
    </row>
    <row r="16" spans="1:6" x14ac:dyDescent="0.25">
      <c r="A16" t="s">
        <v>171</v>
      </c>
      <c r="B16" t="s">
        <v>172</v>
      </c>
      <c r="C16" t="s">
        <v>173</v>
      </c>
      <c r="D16">
        <f>Income_Statement!F10/Balance_Sheet!B23</f>
        <v>1.0944186046511628</v>
      </c>
      <c r="E16">
        <v>0.65</v>
      </c>
      <c r="F16" t="str">
        <f>IF(D16&gt;=E16,"Good","Poor")</f>
        <v>Good</v>
      </c>
    </row>
    <row r="17" spans="1:6" x14ac:dyDescent="0.25">
      <c r="B17" t="s">
        <v>174</v>
      </c>
      <c r="C17" t="s">
        <v>175</v>
      </c>
      <c r="D17">
        <f>Income_Statement!F10/((Balance_Sheet!B7+Balance_Sheet!C7)/2)</f>
        <v>11.548466257668712</v>
      </c>
      <c r="E17">
        <v>8</v>
      </c>
      <c r="F17" t="str">
        <f>IF(D17&gt;=E17,"Good","Slow")</f>
        <v>Good</v>
      </c>
    </row>
    <row r="18" spans="1:6" x14ac:dyDescent="0.25">
      <c r="B18" t="s">
        <v>174</v>
      </c>
      <c r="C18" t="s">
        <v>175</v>
      </c>
      <c r="D18">
        <f>Income_Statement!F10/((Balance_Sheet!B7+Balance_Sheet!C7)/2)</f>
        <v>11.548466257668712</v>
      </c>
      <c r="E18">
        <v>8</v>
      </c>
      <c r="F18" t="str">
        <f>IF(D18&gt;=E18,"Good","Slow")</f>
        <v>Good</v>
      </c>
    </row>
    <row r="19" spans="1:6" x14ac:dyDescent="0.25">
      <c r="B19" t="s">
        <v>182</v>
      </c>
      <c r="C19" t="s">
        <v>183</v>
      </c>
      <c r="D19">
        <f>365/D18</f>
        <v>31.605928601784953</v>
      </c>
      <c r="E19">
        <v>45</v>
      </c>
      <c r="F19" t="str">
        <f>IF(D19&lt;=E19,"Good","Slow")</f>
        <v>Good</v>
      </c>
    </row>
    <row r="20" spans="1:6" x14ac:dyDescent="0.25">
      <c r="A20" t="s">
        <v>176</v>
      </c>
      <c r="B20" t="s">
        <v>177</v>
      </c>
      <c r="C20" t="s">
        <v>178</v>
      </c>
      <c r="D20">
        <v>22.5</v>
      </c>
      <c r="E20">
        <v>20</v>
      </c>
      <c r="F20" t="str">
        <f>IF(D20&lt;=E20,"Undervalued",IF(D20&lt;=E20*1.2,"Fair","Overvalued"))</f>
        <v>Fair</v>
      </c>
    </row>
    <row r="21" spans="1:6" x14ac:dyDescent="0.25">
      <c r="B21" t="s">
        <v>52</v>
      </c>
      <c r="C21" t="s">
        <v>179</v>
      </c>
      <c r="D21">
        <f>Income_Statement!F41/500000</f>
        <v>3.2184599999999999</v>
      </c>
      <c r="E21">
        <v>3</v>
      </c>
      <c r="F21" t="str">
        <f>IF(D21&gt;=E21,"Good","Below Target")</f>
        <v>Good</v>
      </c>
    </row>
    <row r="22" spans="1:6" x14ac:dyDescent="0.25">
      <c r="B22" t="s">
        <v>180</v>
      </c>
      <c r="C22" t="s">
        <v>181</v>
      </c>
      <c r="D22">
        <v>2.4E-2</v>
      </c>
      <c r="E22">
        <v>2.5000000000000001E-2</v>
      </c>
      <c r="F22" t="str">
        <f>IF(D22&gt;=E22,"Good","Below Avg")</f>
        <v>Below Avg</v>
      </c>
    </row>
    <row r="23" spans="1:6" x14ac:dyDescent="0.25">
      <c r="B23" t="s">
        <v>184</v>
      </c>
      <c r="C23" t="s">
        <v>185</v>
      </c>
      <c r="D23">
        <v>0.35</v>
      </c>
      <c r="E23">
        <v>0.4</v>
      </c>
      <c r="F23" t="str">
        <f>IF(D23&lt;=E23,"Sustainable","High")</f>
        <v>Sustainable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FEE80-9433-4081-BB87-43DFBA14B7FD}">
  <dimension ref="A1:C40"/>
  <sheetViews>
    <sheetView tabSelected="1" workbookViewId="0">
      <selection activeCell="B5" sqref="B5:C40"/>
    </sheetView>
  </sheetViews>
  <sheetFormatPr defaultRowHeight="15" x14ac:dyDescent="0.25"/>
  <cols>
    <col min="2" max="3" width="10.140625" bestFit="1" customWidth="1"/>
  </cols>
  <sheetData>
    <row r="1" spans="1:3" ht="21" x14ac:dyDescent="0.35">
      <c r="A1" s="2" t="s">
        <v>115</v>
      </c>
    </row>
    <row r="2" spans="1:3" x14ac:dyDescent="0.25">
      <c r="A2" s="1" t="s">
        <v>116</v>
      </c>
    </row>
    <row r="4" spans="1:3" x14ac:dyDescent="0.25">
      <c r="A4" s="4" t="s">
        <v>117</v>
      </c>
      <c r="B4" s="4">
        <v>2025</v>
      </c>
      <c r="C4">
        <v>2024</v>
      </c>
    </row>
    <row r="5" spans="1:3" x14ac:dyDescent="0.25">
      <c r="A5" s="1" t="s">
        <v>118</v>
      </c>
      <c r="B5" s="10">
        <f>Income_Statement!F41</f>
        <v>1609230</v>
      </c>
      <c r="C5" s="10">
        <v>850000</v>
      </c>
    </row>
    <row r="6" spans="1:3" x14ac:dyDescent="0.25">
      <c r="A6" t="s">
        <v>119</v>
      </c>
      <c r="B6" s="10"/>
      <c r="C6" s="10"/>
    </row>
    <row r="7" spans="1:3" x14ac:dyDescent="0.25">
      <c r="A7" t="s">
        <v>120</v>
      </c>
      <c r="B7" s="10">
        <v>186000</v>
      </c>
      <c r="C7" s="10">
        <v>165000</v>
      </c>
    </row>
    <row r="8" spans="1:3" x14ac:dyDescent="0.25">
      <c r="A8" t="s">
        <v>121</v>
      </c>
      <c r="B8" s="10">
        <v>45000</v>
      </c>
      <c r="C8" s="10">
        <v>40000</v>
      </c>
    </row>
    <row r="9" spans="1:3" x14ac:dyDescent="0.25">
      <c r="A9" t="s">
        <v>122</v>
      </c>
      <c r="B9" s="10">
        <v>32000</v>
      </c>
      <c r="C9" s="10">
        <v>28000</v>
      </c>
    </row>
    <row r="10" spans="1:3" x14ac:dyDescent="0.25">
      <c r="A10" t="s">
        <v>123</v>
      </c>
      <c r="B10" s="10"/>
      <c r="C10" s="10"/>
    </row>
    <row r="11" spans="1:3" x14ac:dyDescent="0.25">
      <c r="A11" t="s">
        <v>77</v>
      </c>
      <c r="B11" s="10">
        <v>-70000</v>
      </c>
      <c r="C11" s="10">
        <v>-60000</v>
      </c>
    </row>
    <row r="12" spans="1:3" x14ac:dyDescent="0.25">
      <c r="A12" t="s">
        <v>78</v>
      </c>
      <c r="B12" s="10">
        <v>-50000</v>
      </c>
      <c r="C12" s="10">
        <v>-45000</v>
      </c>
    </row>
    <row r="13" spans="1:3" x14ac:dyDescent="0.25">
      <c r="A13" t="s">
        <v>79</v>
      </c>
      <c r="B13" s="10">
        <v>-20000</v>
      </c>
      <c r="C13" s="10">
        <v>-15000</v>
      </c>
    </row>
    <row r="14" spans="1:3" x14ac:dyDescent="0.25">
      <c r="A14" t="s">
        <v>94</v>
      </c>
      <c r="B14" s="10">
        <v>30000</v>
      </c>
      <c r="C14" s="10">
        <v>25000</v>
      </c>
    </row>
    <row r="15" spans="1:3" x14ac:dyDescent="0.25">
      <c r="A15" t="s">
        <v>96</v>
      </c>
      <c r="B15" s="10">
        <v>30000</v>
      </c>
      <c r="C15" s="10">
        <v>25000</v>
      </c>
    </row>
    <row r="16" spans="1:3" x14ac:dyDescent="0.25">
      <c r="A16" t="s">
        <v>97</v>
      </c>
      <c r="B16" s="10">
        <v>30000</v>
      </c>
      <c r="C16" s="10">
        <v>25000</v>
      </c>
    </row>
    <row r="17" spans="1:3" x14ac:dyDescent="0.25">
      <c r="A17" t="s">
        <v>124</v>
      </c>
      <c r="B17" s="10">
        <v>15000</v>
      </c>
      <c r="C17" s="10">
        <v>10000</v>
      </c>
    </row>
    <row r="18" spans="1:3" x14ac:dyDescent="0.25">
      <c r="A18" s="1" t="s">
        <v>125</v>
      </c>
      <c r="B18" s="10">
        <f>SUM(B5:B17)</f>
        <v>1837230</v>
      </c>
      <c r="C18" s="10">
        <f>SUM(C5:C17)</f>
        <v>1048000</v>
      </c>
    </row>
    <row r="19" spans="1:3" x14ac:dyDescent="0.25">
      <c r="B19" s="10"/>
      <c r="C19" s="10"/>
    </row>
    <row r="20" spans="1:3" x14ac:dyDescent="0.25">
      <c r="A20" s="1" t="s">
        <v>126</v>
      </c>
      <c r="B20" s="10"/>
      <c r="C20" s="10"/>
    </row>
    <row r="21" spans="1:3" x14ac:dyDescent="0.25">
      <c r="A21" t="s">
        <v>127</v>
      </c>
      <c r="B21" s="10">
        <v>-350000</v>
      </c>
      <c r="C21" s="10">
        <v>-300000</v>
      </c>
    </row>
    <row r="22" spans="1:3" x14ac:dyDescent="0.25">
      <c r="A22" t="s">
        <v>128</v>
      </c>
      <c r="B22" s="10">
        <v>-200000</v>
      </c>
      <c r="C22" s="10">
        <v>-150000</v>
      </c>
    </row>
    <row r="23" spans="1:3" x14ac:dyDescent="0.25">
      <c r="A23" t="s">
        <v>129</v>
      </c>
      <c r="B23" s="10">
        <v>120000</v>
      </c>
      <c r="C23" s="10">
        <v>100000</v>
      </c>
    </row>
    <row r="24" spans="1:3" x14ac:dyDescent="0.25">
      <c r="A24" t="s">
        <v>130</v>
      </c>
      <c r="B24" s="10">
        <v>-50000</v>
      </c>
      <c r="C24" s="10">
        <v>-40000</v>
      </c>
    </row>
    <row r="25" spans="1:3" x14ac:dyDescent="0.25">
      <c r="A25" t="s">
        <v>131</v>
      </c>
      <c r="B25" s="10">
        <v>80000</v>
      </c>
      <c r="C25" s="10">
        <v>60000</v>
      </c>
    </row>
    <row r="26" spans="1:3" x14ac:dyDescent="0.25">
      <c r="A26" t="s">
        <v>132</v>
      </c>
      <c r="B26" s="10">
        <v>-20000</v>
      </c>
      <c r="C26" s="10">
        <v>-15000</v>
      </c>
    </row>
    <row r="27" spans="1:3" x14ac:dyDescent="0.25">
      <c r="A27" s="1" t="s">
        <v>133</v>
      </c>
      <c r="B27" s="10">
        <f>SUM(B21:B26)</f>
        <v>-420000</v>
      </c>
      <c r="C27" s="10">
        <f>SUM(C21:C26)</f>
        <v>-345000</v>
      </c>
    </row>
    <row r="28" spans="1:3" x14ac:dyDescent="0.25">
      <c r="B28" s="10"/>
      <c r="C28" s="10"/>
    </row>
    <row r="29" spans="1:3" x14ac:dyDescent="0.25">
      <c r="A29" s="1" t="s">
        <v>134</v>
      </c>
      <c r="B29" s="10"/>
      <c r="C29" s="10"/>
    </row>
    <row r="30" spans="1:3" x14ac:dyDescent="0.25">
      <c r="A30" t="s">
        <v>135</v>
      </c>
      <c r="B30" s="10">
        <v>250000</v>
      </c>
      <c r="C30" s="10">
        <v>200000</v>
      </c>
    </row>
    <row r="31" spans="1:3" x14ac:dyDescent="0.25">
      <c r="A31" t="s">
        <v>136</v>
      </c>
      <c r="B31" s="10">
        <v>-180000</v>
      </c>
      <c r="C31" s="10">
        <v>-150000</v>
      </c>
    </row>
    <row r="32" spans="1:3" x14ac:dyDescent="0.25">
      <c r="A32" t="s">
        <v>137</v>
      </c>
      <c r="B32" s="10">
        <v>100000</v>
      </c>
      <c r="C32" s="10">
        <v>80000</v>
      </c>
    </row>
    <row r="33" spans="1:3" x14ac:dyDescent="0.25">
      <c r="A33" t="s">
        <v>138</v>
      </c>
      <c r="B33" s="10">
        <v>-20000</v>
      </c>
      <c r="C33" s="10">
        <v>-15000</v>
      </c>
    </row>
    <row r="34" spans="1:3" x14ac:dyDescent="0.25">
      <c r="A34" t="s">
        <v>139</v>
      </c>
      <c r="B34" s="10">
        <v>-120000</v>
      </c>
      <c r="C34" s="10">
        <v>-100000</v>
      </c>
    </row>
    <row r="35" spans="1:3" x14ac:dyDescent="0.25">
      <c r="A35" t="s">
        <v>140</v>
      </c>
      <c r="B35" s="10">
        <v>-30000</v>
      </c>
      <c r="C35" s="10">
        <v>-25000</v>
      </c>
    </row>
    <row r="36" spans="1:3" x14ac:dyDescent="0.25">
      <c r="A36" s="1" t="s">
        <v>141</v>
      </c>
      <c r="B36" s="10">
        <f>SUM(B30:B35)</f>
        <v>0</v>
      </c>
      <c r="C36" s="10">
        <f>SUM(C30:C35)</f>
        <v>-10000</v>
      </c>
    </row>
    <row r="37" spans="1:3" x14ac:dyDescent="0.25">
      <c r="B37" s="10"/>
      <c r="C37" s="10"/>
    </row>
    <row r="38" spans="1:3" x14ac:dyDescent="0.25">
      <c r="A38" s="1" t="s">
        <v>142</v>
      </c>
      <c r="B38" s="10">
        <f>B18+B27+B36</f>
        <v>1417230</v>
      </c>
      <c r="C38" s="10">
        <f>C18+C27+C36</f>
        <v>693000</v>
      </c>
    </row>
    <row r="39" spans="1:3" x14ac:dyDescent="0.25">
      <c r="A39" s="1" t="s">
        <v>143</v>
      </c>
      <c r="B39" s="10">
        <f>Balance_Sheet!C6</f>
        <v>1100000</v>
      </c>
      <c r="C39" s="10">
        <v>950000</v>
      </c>
    </row>
    <row r="40" spans="1:3" x14ac:dyDescent="0.25">
      <c r="A40" s="1" t="s">
        <v>144</v>
      </c>
      <c r="B40" s="10">
        <f>B39+B38</f>
        <v>2517230</v>
      </c>
      <c r="C40" s="10">
        <f>C39+C38</f>
        <v>1643000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A84F-4A1C-4CD3-B039-32F497234DE7}">
  <dimension ref="A1:D51"/>
  <sheetViews>
    <sheetView workbookViewId="0">
      <selection activeCell="B6" sqref="B6:D51"/>
    </sheetView>
  </sheetViews>
  <sheetFormatPr defaultRowHeight="15" x14ac:dyDescent="0.25"/>
  <cols>
    <col min="2" max="3" width="10.140625" bestFit="1" customWidth="1"/>
    <col min="4" max="4" width="9.28515625" bestFit="1" customWidth="1"/>
  </cols>
  <sheetData>
    <row r="1" spans="1:4" ht="21" x14ac:dyDescent="0.35">
      <c r="A1" s="2" t="s">
        <v>71</v>
      </c>
    </row>
    <row r="2" spans="1:4" x14ac:dyDescent="0.25">
      <c r="A2" s="1" t="s">
        <v>72</v>
      </c>
    </row>
    <row r="4" spans="1:4" x14ac:dyDescent="0.25">
      <c r="A4" s="4" t="s">
        <v>73</v>
      </c>
      <c r="B4" s="4">
        <v>2025</v>
      </c>
      <c r="C4" s="4">
        <v>2024</v>
      </c>
      <c r="D4" s="4" t="s">
        <v>74</v>
      </c>
    </row>
    <row r="5" spans="1:4" x14ac:dyDescent="0.25">
      <c r="A5" s="1" t="s">
        <v>75</v>
      </c>
    </row>
    <row r="6" spans="1:4" x14ac:dyDescent="0.25">
      <c r="A6" t="s">
        <v>76</v>
      </c>
      <c r="B6" s="10">
        <v>1250000</v>
      </c>
      <c r="C6" s="10">
        <v>1100000</v>
      </c>
      <c r="D6" s="10">
        <f>B6-C6</f>
        <v>150000</v>
      </c>
    </row>
    <row r="7" spans="1:4" x14ac:dyDescent="0.25">
      <c r="A7" t="s">
        <v>77</v>
      </c>
      <c r="B7" s="10">
        <v>850000</v>
      </c>
      <c r="C7" s="10">
        <v>780000</v>
      </c>
      <c r="D7" s="10">
        <f>B7-C7</f>
        <v>70000</v>
      </c>
    </row>
    <row r="8" spans="1:4" x14ac:dyDescent="0.25">
      <c r="A8" t="s">
        <v>78</v>
      </c>
      <c r="B8" s="10">
        <v>650000</v>
      </c>
      <c r="C8" s="10">
        <v>600000</v>
      </c>
      <c r="D8" s="10">
        <f>B8-C8</f>
        <v>50000</v>
      </c>
    </row>
    <row r="9" spans="1:4" x14ac:dyDescent="0.25">
      <c r="A9" t="s">
        <v>79</v>
      </c>
      <c r="B9" s="10">
        <v>120000</v>
      </c>
      <c r="C9" s="10">
        <v>100000</v>
      </c>
      <c r="D9" s="10">
        <f>B9-C9</f>
        <v>20000</v>
      </c>
    </row>
    <row r="10" spans="1:4" x14ac:dyDescent="0.25">
      <c r="A10" t="s">
        <v>80</v>
      </c>
      <c r="B10" s="10">
        <v>80000</v>
      </c>
      <c r="C10" s="10">
        <v>70000</v>
      </c>
      <c r="D10" s="10">
        <f>B10-C10</f>
        <v>10000</v>
      </c>
    </row>
    <row r="11" spans="1:4" x14ac:dyDescent="0.25">
      <c r="A11" s="1" t="s">
        <v>81</v>
      </c>
      <c r="B11" s="10">
        <f>SUM(B6:B10)</f>
        <v>2950000</v>
      </c>
      <c r="C11" s="10">
        <f>SUM(C6:C10)</f>
        <v>2650000</v>
      </c>
      <c r="D11" s="10">
        <f>B11-C11</f>
        <v>300000</v>
      </c>
    </row>
    <row r="12" spans="1:4" x14ac:dyDescent="0.25">
      <c r="B12" s="10"/>
      <c r="C12" s="10"/>
      <c r="D12" s="10"/>
    </row>
    <row r="13" spans="1:4" x14ac:dyDescent="0.25">
      <c r="A13" s="1" t="s">
        <v>82</v>
      </c>
      <c r="B13" s="10"/>
      <c r="C13" s="10"/>
      <c r="D13" s="10"/>
    </row>
    <row r="14" spans="1:4" x14ac:dyDescent="0.25">
      <c r="A14" t="s">
        <v>83</v>
      </c>
      <c r="B14" s="10">
        <v>4200000</v>
      </c>
      <c r="C14" s="10">
        <v>3800000</v>
      </c>
      <c r="D14" s="10">
        <f>B14-C14</f>
        <v>400000</v>
      </c>
    </row>
    <row r="15" spans="1:4" x14ac:dyDescent="0.25">
      <c r="A15" t="s">
        <v>84</v>
      </c>
      <c r="B15" s="10">
        <v>1250000</v>
      </c>
      <c r="C15" s="10">
        <v>1100000</v>
      </c>
      <c r="D15" s="10">
        <f>B15-C15</f>
        <v>150000</v>
      </c>
    </row>
    <row r="16" spans="1:4" x14ac:dyDescent="0.25">
      <c r="A16" t="s">
        <v>85</v>
      </c>
      <c r="B16" s="10">
        <f>B14-B15</f>
        <v>2950000</v>
      </c>
      <c r="C16" s="10">
        <f>C14-C15</f>
        <v>2700000</v>
      </c>
      <c r="D16" s="10">
        <f>B16-C16</f>
        <v>250000</v>
      </c>
    </row>
    <row r="17" spans="1:4" x14ac:dyDescent="0.25">
      <c r="A17" t="s">
        <v>86</v>
      </c>
      <c r="B17" s="10">
        <v>850000</v>
      </c>
      <c r="C17" s="10">
        <v>800000</v>
      </c>
      <c r="D17" s="10">
        <f>B17-C17</f>
        <v>50000</v>
      </c>
    </row>
    <row r="18" spans="1:4" x14ac:dyDescent="0.25">
      <c r="A18" t="s">
        <v>87</v>
      </c>
      <c r="B18" s="10">
        <v>1200000</v>
      </c>
      <c r="C18" s="10">
        <v>1150000</v>
      </c>
      <c r="D18" s="10">
        <f>B18-C18</f>
        <v>50000</v>
      </c>
    </row>
    <row r="19" spans="1:4" x14ac:dyDescent="0.25">
      <c r="A19" t="s">
        <v>88</v>
      </c>
      <c r="B19" s="10">
        <v>500000</v>
      </c>
      <c r="C19" s="10">
        <v>450000</v>
      </c>
      <c r="D19" s="10">
        <f>B19-C19</f>
        <v>50000</v>
      </c>
    </row>
    <row r="20" spans="1:4" x14ac:dyDescent="0.25">
      <c r="A20" t="s">
        <v>89</v>
      </c>
      <c r="B20" s="10">
        <v>150000</v>
      </c>
      <c r="C20" s="10">
        <v>120000</v>
      </c>
      <c r="D20" s="10">
        <f>B20-C20</f>
        <v>30000</v>
      </c>
    </row>
    <row r="21" spans="1:4" x14ac:dyDescent="0.25">
      <c r="A21" s="1" t="s">
        <v>90</v>
      </c>
      <c r="B21" s="10">
        <f>SUM(B16:B20)</f>
        <v>5650000</v>
      </c>
      <c r="C21" s="10">
        <f>SUM(C16:C20)</f>
        <v>5220000</v>
      </c>
      <c r="D21" s="10">
        <f>B21-C21</f>
        <v>430000</v>
      </c>
    </row>
    <row r="22" spans="1:4" x14ac:dyDescent="0.25">
      <c r="B22" s="10"/>
      <c r="C22" s="10"/>
      <c r="D22" s="10"/>
    </row>
    <row r="23" spans="1:4" x14ac:dyDescent="0.25">
      <c r="A23" s="1" t="s">
        <v>91</v>
      </c>
      <c r="B23" s="10">
        <f>B11+B21</f>
        <v>8600000</v>
      </c>
      <c r="C23" s="10">
        <f>C11+C21</f>
        <v>7870000</v>
      </c>
      <c r="D23" s="10">
        <f>B23-C23</f>
        <v>730000</v>
      </c>
    </row>
    <row r="24" spans="1:4" x14ac:dyDescent="0.25">
      <c r="B24" s="10"/>
      <c r="C24" s="10"/>
      <c r="D24" s="10"/>
    </row>
    <row r="25" spans="1:4" x14ac:dyDescent="0.25">
      <c r="A25" s="1" t="s">
        <v>92</v>
      </c>
      <c r="B25" s="10"/>
      <c r="C25" s="10"/>
      <c r="D25" s="10"/>
    </row>
    <row r="26" spans="1:4" x14ac:dyDescent="0.25">
      <c r="A26" s="1" t="s">
        <v>93</v>
      </c>
      <c r="B26" s="10"/>
      <c r="C26" s="10"/>
      <c r="D26" s="10"/>
    </row>
    <row r="27" spans="1:4" x14ac:dyDescent="0.25">
      <c r="A27" t="s">
        <v>94</v>
      </c>
      <c r="B27" s="10">
        <v>450000</v>
      </c>
      <c r="C27" s="10">
        <v>420000</v>
      </c>
      <c r="D27" s="10">
        <f>B27-C27</f>
        <v>30000</v>
      </c>
    </row>
    <row r="28" spans="1:4" x14ac:dyDescent="0.25">
      <c r="A28" t="s">
        <v>95</v>
      </c>
      <c r="B28" s="10">
        <v>350000</v>
      </c>
      <c r="C28" s="10">
        <v>300000</v>
      </c>
      <c r="D28" s="10">
        <f>B28-C28</f>
        <v>50000</v>
      </c>
    </row>
    <row r="29" spans="1:4" x14ac:dyDescent="0.25">
      <c r="A29" t="s">
        <v>96</v>
      </c>
      <c r="B29" s="10">
        <v>280000</v>
      </c>
      <c r="C29" s="10">
        <v>250000</v>
      </c>
      <c r="D29" s="10">
        <f>B29-C29</f>
        <v>30000</v>
      </c>
    </row>
    <row r="30" spans="1:4" x14ac:dyDescent="0.25">
      <c r="A30" t="s">
        <v>97</v>
      </c>
      <c r="B30" s="10">
        <v>150000</v>
      </c>
      <c r="C30" s="10">
        <v>120000</v>
      </c>
      <c r="D30" s="10">
        <f>B30-C30</f>
        <v>30000</v>
      </c>
    </row>
    <row r="31" spans="1:4" x14ac:dyDescent="0.25">
      <c r="A31" t="s">
        <v>98</v>
      </c>
      <c r="B31" s="10">
        <v>120000</v>
      </c>
      <c r="C31" s="10">
        <v>100000</v>
      </c>
      <c r="D31" s="10">
        <f>B31-C31</f>
        <v>20000</v>
      </c>
    </row>
    <row r="32" spans="1:4" x14ac:dyDescent="0.25">
      <c r="A32" s="1" t="s">
        <v>99</v>
      </c>
      <c r="B32" s="10">
        <f>SUM(B27:B31)</f>
        <v>1350000</v>
      </c>
      <c r="C32" s="10">
        <f>SUM(C27:C31)</f>
        <v>1190000</v>
      </c>
      <c r="D32" s="10">
        <f>B32-C32</f>
        <v>160000</v>
      </c>
    </row>
    <row r="33" spans="1:4" x14ac:dyDescent="0.25">
      <c r="B33" s="10"/>
      <c r="C33" s="10"/>
      <c r="D33" s="10"/>
    </row>
    <row r="34" spans="1:4" x14ac:dyDescent="0.25">
      <c r="A34" s="1" t="s">
        <v>100</v>
      </c>
      <c r="B34" s="10"/>
      <c r="C34" s="10"/>
      <c r="D34" s="10"/>
    </row>
    <row r="35" spans="1:4" x14ac:dyDescent="0.25">
      <c r="A35" t="s">
        <v>101</v>
      </c>
      <c r="B35" s="10">
        <v>2200000</v>
      </c>
      <c r="C35" s="10">
        <v>2000000</v>
      </c>
      <c r="D35" s="10">
        <f>B35-C35</f>
        <v>200000</v>
      </c>
    </row>
    <row r="36" spans="1:4" x14ac:dyDescent="0.25">
      <c r="A36" t="s">
        <v>102</v>
      </c>
      <c r="B36" s="10">
        <v>350000</v>
      </c>
      <c r="C36" s="10">
        <v>300000</v>
      </c>
      <c r="D36" s="10">
        <f>B36-C36</f>
        <v>50000</v>
      </c>
    </row>
    <row r="37" spans="1:4" x14ac:dyDescent="0.25">
      <c r="A37" t="s">
        <v>103</v>
      </c>
      <c r="B37" s="10">
        <v>250000</v>
      </c>
      <c r="C37" s="10">
        <v>200000</v>
      </c>
      <c r="D37" s="10">
        <f>B37-C37</f>
        <v>50000</v>
      </c>
    </row>
    <row r="38" spans="1:4" x14ac:dyDescent="0.25">
      <c r="A38" t="s">
        <v>104</v>
      </c>
      <c r="B38" s="10">
        <v>100000</v>
      </c>
      <c r="C38" s="10">
        <v>80000</v>
      </c>
      <c r="D38" s="10">
        <f>B38-C38</f>
        <v>20000</v>
      </c>
    </row>
    <row r="39" spans="1:4" x14ac:dyDescent="0.25">
      <c r="A39" s="1" t="s">
        <v>105</v>
      </c>
      <c r="B39" s="10">
        <f>SUM(B35:B38)</f>
        <v>2900000</v>
      </c>
      <c r="C39" s="10">
        <f>SUM(C35:C38)</f>
        <v>2580000</v>
      </c>
      <c r="D39" s="10">
        <f>B39-C39</f>
        <v>320000</v>
      </c>
    </row>
    <row r="40" spans="1:4" x14ac:dyDescent="0.25">
      <c r="B40" s="10"/>
      <c r="C40" s="10"/>
      <c r="D40" s="10"/>
    </row>
    <row r="41" spans="1:4" x14ac:dyDescent="0.25">
      <c r="A41" s="1" t="s">
        <v>106</v>
      </c>
      <c r="B41" s="10">
        <f>B32+B39</f>
        <v>4250000</v>
      </c>
      <c r="C41" s="10">
        <f>C32+C39</f>
        <v>3770000</v>
      </c>
      <c r="D41" s="10">
        <f>B41-C41</f>
        <v>480000</v>
      </c>
    </row>
    <row r="42" spans="1:4" x14ac:dyDescent="0.25">
      <c r="B42" s="10"/>
      <c r="C42" s="10"/>
      <c r="D42" s="10"/>
    </row>
    <row r="43" spans="1:4" x14ac:dyDescent="0.25">
      <c r="A43" s="1" t="s">
        <v>107</v>
      </c>
      <c r="B43" s="10"/>
      <c r="C43" s="10"/>
      <c r="D43" s="10"/>
    </row>
    <row r="44" spans="1:4" x14ac:dyDescent="0.25">
      <c r="A44" t="s">
        <v>108</v>
      </c>
      <c r="B44" s="10">
        <v>1000000</v>
      </c>
      <c r="C44" s="10">
        <v>1000000</v>
      </c>
      <c r="D44" s="10">
        <f>B44-C44</f>
        <v>0</v>
      </c>
    </row>
    <row r="45" spans="1:4" x14ac:dyDescent="0.25">
      <c r="A45" t="s">
        <v>109</v>
      </c>
      <c r="B45" s="10">
        <v>1500000</v>
      </c>
      <c r="C45" s="10">
        <v>1500000</v>
      </c>
      <c r="D45" s="10">
        <f>B45-C45</f>
        <v>0</v>
      </c>
    </row>
    <row r="46" spans="1:4" x14ac:dyDescent="0.25">
      <c r="A46" t="s">
        <v>110</v>
      </c>
      <c r="B46" s="10">
        <v>1800000</v>
      </c>
      <c r="C46" s="10">
        <v>1500000</v>
      </c>
      <c r="D46" s="10">
        <f>B46-C46</f>
        <v>300000</v>
      </c>
    </row>
    <row r="47" spans="1:4" x14ac:dyDescent="0.25">
      <c r="A47" t="s">
        <v>111</v>
      </c>
      <c r="B47" s="10">
        <v>-50000</v>
      </c>
      <c r="C47" s="10">
        <v>-30000</v>
      </c>
      <c r="D47" s="10">
        <f>B47-C47</f>
        <v>-20000</v>
      </c>
    </row>
    <row r="48" spans="1:4" x14ac:dyDescent="0.25">
      <c r="A48" t="s">
        <v>112</v>
      </c>
      <c r="B48" s="10">
        <v>100000</v>
      </c>
      <c r="C48" s="10">
        <v>80000</v>
      </c>
      <c r="D48" s="10">
        <f>B48-C48</f>
        <v>20000</v>
      </c>
    </row>
    <row r="49" spans="1:4" x14ac:dyDescent="0.25">
      <c r="A49" s="1" t="s">
        <v>113</v>
      </c>
      <c r="B49" s="10">
        <f>SUM(B44:B48)</f>
        <v>4350000</v>
      </c>
      <c r="C49" s="10">
        <f>SUM(C44:C48)</f>
        <v>4050000</v>
      </c>
      <c r="D49" s="10">
        <f>B49-C49</f>
        <v>300000</v>
      </c>
    </row>
    <row r="50" spans="1:4" x14ac:dyDescent="0.25">
      <c r="B50" s="10"/>
      <c r="C50" s="10"/>
      <c r="D50" s="10"/>
    </row>
    <row r="51" spans="1:4" x14ac:dyDescent="0.25">
      <c r="A51" s="1" t="s">
        <v>114</v>
      </c>
      <c r="B51" s="10">
        <f>B41+B49</f>
        <v>8600000</v>
      </c>
      <c r="C51" s="10">
        <f>C41+C49</f>
        <v>7820000</v>
      </c>
      <c r="D51" s="10">
        <f>B51-C51</f>
        <v>780000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6E5FF-7218-4C6D-A9CE-CA56E65CF995}">
  <dimension ref="A1:F41"/>
  <sheetViews>
    <sheetView workbookViewId="0">
      <selection activeCell="A26" sqref="A26"/>
    </sheetView>
  </sheetViews>
  <sheetFormatPr defaultRowHeight="15" x14ac:dyDescent="0.25"/>
  <cols>
    <col min="2" max="6" width="10.140625" bestFit="1" customWidth="1"/>
  </cols>
  <sheetData>
    <row r="1" spans="1:6" ht="21" x14ac:dyDescent="0.35">
      <c r="A1" s="2" t="s">
        <v>0</v>
      </c>
      <c r="B1" s="1"/>
      <c r="C1" s="1"/>
      <c r="D1" s="1"/>
      <c r="E1" s="1"/>
      <c r="F1" s="1"/>
    </row>
    <row r="2" spans="1:6" ht="15.75" x14ac:dyDescent="0.25">
      <c r="A2" s="3" t="s">
        <v>1</v>
      </c>
      <c r="B2" s="1"/>
      <c r="C2" s="1"/>
      <c r="D2" s="1"/>
      <c r="E2" s="1"/>
      <c r="F2" s="1"/>
    </row>
    <row r="4" spans="1:6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s="1" t="s">
        <v>8</v>
      </c>
    </row>
    <row r="6" spans="1:6" x14ac:dyDescent="0.25">
      <c r="A6" t="s">
        <v>9</v>
      </c>
      <c r="B6" s="10">
        <v>1250000</v>
      </c>
      <c r="C6" s="10">
        <v>1350000</v>
      </c>
      <c r="D6" s="10">
        <v>1420000</v>
      </c>
      <c r="E6" s="10">
        <v>1580000</v>
      </c>
      <c r="F6" s="10">
        <f>SUM(B6:E6)</f>
        <v>5600000</v>
      </c>
    </row>
    <row r="7" spans="1:6" x14ac:dyDescent="0.25">
      <c r="A7" t="s">
        <v>10</v>
      </c>
      <c r="B7" s="10">
        <v>450000</v>
      </c>
      <c r="C7" s="10">
        <v>480000</v>
      </c>
      <c r="D7" s="10">
        <v>520000</v>
      </c>
      <c r="E7" s="10">
        <v>550000</v>
      </c>
      <c r="F7" s="10">
        <f>SUM(B7:E7)</f>
        <v>2000000</v>
      </c>
    </row>
    <row r="8" spans="1:6" x14ac:dyDescent="0.25">
      <c r="A8" t="s">
        <v>11</v>
      </c>
      <c r="B8" s="10">
        <v>320000</v>
      </c>
      <c r="C8" s="10">
        <v>350000</v>
      </c>
      <c r="D8" s="10">
        <v>380000</v>
      </c>
      <c r="E8" s="10">
        <v>420000</v>
      </c>
      <c r="F8" s="10">
        <f>SUM(B8:E8)</f>
        <v>1470000</v>
      </c>
    </row>
    <row r="9" spans="1:6" x14ac:dyDescent="0.25">
      <c r="A9" t="s">
        <v>12</v>
      </c>
      <c r="B9" s="10">
        <v>75000</v>
      </c>
      <c r="C9" s="10">
        <v>82000</v>
      </c>
      <c r="D9" s="10">
        <v>90000</v>
      </c>
      <c r="E9" s="10">
        <v>95000</v>
      </c>
      <c r="F9" s="10">
        <f>SUM(B9:E9)</f>
        <v>342000</v>
      </c>
    </row>
    <row r="10" spans="1:6" x14ac:dyDescent="0.25">
      <c r="A10" s="5" t="s">
        <v>13</v>
      </c>
      <c r="B10" s="11">
        <f>SUM(B6:B9)</f>
        <v>2095000</v>
      </c>
      <c r="C10" s="11">
        <f>SUM(C6:C9)</f>
        <v>2262000</v>
      </c>
      <c r="D10" s="11">
        <f>SUM(D6:D9)</f>
        <v>2410000</v>
      </c>
      <c r="E10" s="11">
        <f>SUM(E6:E9)</f>
        <v>2645000</v>
      </c>
      <c r="F10" s="11">
        <f>SUM(F6:F9)</f>
        <v>9412000</v>
      </c>
    </row>
    <row r="11" spans="1:6" x14ac:dyDescent="0.25">
      <c r="B11" s="10"/>
      <c r="C11" s="10"/>
      <c r="D11" s="10"/>
      <c r="E11" s="10"/>
      <c r="F11" s="10"/>
    </row>
    <row r="12" spans="1:6" x14ac:dyDescent="0.25">
      <c r="A12" s="1" t="s">
        <v>14</v>
      </c>
      <c r="B12" s="10"/>
      <c r="C12" s="10"/>
      <c r="D12" s="10"/>
      <c r="E12" s="10"/>
      <c r="F12" s="10"/>
    </row>
    <row r="13" spans="1:6" x14ac:dyDescent="0.25">
      <c r="A13" t="s">
        <v>15</v>
      </c>
      <c r="B13" s="10">
        <v>650000</v>
      </c>
      <c r="C13" s="10">
        <v>680000</v>
      </c>
      <c r="D13" s="10">
        <v>710000</v>
      </c>
      <c r="E13" s="10">
        <v>750000</v>
      </c>
      <c r="F13" s="10">
        <f>SUM(B13:E13)</f>
        <v>2790000</v>
      </c>
    </row>
    <row r="14" spans="1:6" x14ac:dyDescent="0.25">
      <c r="A14" t="s">
        <v>16</v>
      </c>
      <c r="B14" s="10">
        <v>280000</v>
      </c>
      <c r="C14" s="10">
        <v>295000</v>
      </c>
      <c r="D14" s="10">
        <v>310000</v>
      </c>
      <c r="E14" s="10">
        <v>330000</v>
      </c>
      <c r="F14" s="10">
        <f>SUM(B14:E14)</f>
        <v>1215000</v>
      </c>
    </row>
    <row r="15" spans="1:6" x14ac:dyDescent="0.25">
      <c r="A15" t="s">
        <v>17</v>
      </c>
      <c r="B15" s="10">
        <v>120000</v>
      </c>
      <c r="C15" s="10">
        <v>125000</v>
      </c>
      <c r="D15" s="10">
        <v>130000</v>
      </c>
      <c r="E15" s="10">
        <v>135000</v>
      </c>
      <c r="F15" s="10">
        <f>SUM(B15:E15)</f>
        <v>510000</v>
      </c>
    </row>
    <row r="16" spans="1:6" x14ac:dyDescent="0.25">
      <c r="A16" s="1" t="s">
        <v>18</v>
      </c>
      <c r="B16" s="10">
        <f>SUM(B13:B15)</f>
        <v>1050000</v>
      </c>
      <c r="C16" s="10">
        <f>SUM(C13:C15)</f>
        <v>1100000</v>
      </c>
      <c r="D16" s="10">
        <f>SUM(D13:D15)</f>
        <v>1150000</v>
      </c>
      <c r="E16" s="10">
        <f>SUM(E13:E15)</f>
        <v>1215000</v>
      </c>
      <c r="F16" s="10">
        <f>SUM(F13:F15)</f>
        <v>4515000</v>
      </c>
    </row>
    <row r="17" spans="1:6" x14ac:dyDescent="0.25">
      <c r="B17" s="10"/>
      <c r="C17" s="10"/>
      <c r="D17" s="10"/>
      <c r="E17" s="10"/>
      <c r="F17" s="10"/>
    </row>
    <row r="18" spans="1:6" x14ac:dyDescent="0.25">
      <c r="A18" s="6" t="s">
        <v>19</v>
      </c>
      <c r="B18" s="12">
        <f>B10-B16</f>
        <v>1045000</v>
      </c>
      <c r="C18" s="12">
        <f>C10-C16</f>
        <v>1162000</v>
      </c>
      <c r="D18" s="12">
        <f>D10-D16</f>
        <v>1260000</v>
      </c>
      <c r="E18" s="12">
        <f>E10-E16</f>
        <v>1430000</v>
      </c>
      <c r="F18" s="12">
        <f>F10-F16</f>
        <v>4897000</v>
      </c>
    </row>
    <row r="19" spans="1:6" x14ac:dyDescent="0.25">
      <c r="B19" s="10"/>
      <c r="C19" s="10"/>
      <c r="D19" s="10"/>
      <c r="E19" s="10"/>
      <c r="F19" s="10"/>
    </row>
    <row r="20" spans="1:6" x14ac:dyDescent="0.25">
      <c r="A20" s="1" t="s">
        <v>20</v>
      </c>
      <c r="B20" s="10"/>
      <c r="C20" s="10"/>
      <c r="D20" s="10"/>
      <c r="E20" s="10"/>
      <c r="F20" s="10"/>
    </row>
    <row r="21" spans="1:6" x14ac:dyDescent="0.25">
      <c r="A21" t="s">
        <v>21</v>
      </c>
      <c r="B21" s="10">
        <v>85000</v>
      </c>
      <c r="C21" s="10">
        <v>92000</v>
      </c>
      <c r="D21" s="10">
        <v>98000</v>
      </c>
      <c r="E21" s="10">
        <v>105000</v>
      </c>
      <c r="F21" s="10">
        <f>SUM(B21:E21)</f>
        <v>380000</v>
      </c>
    </row>
    <row r="22" spans="1:6" x14ac:dyDescent="0.25">
      <c r="A22" t="s">
        <v>22</v>
      </c>
      <c r="B22" s="10">
        <v>120000</v>
      </c>
      <c r="C22" s="10">
        <v>125000</v>
      </c>
      <c r="D22" s="10">
        <v>130000</v>
      </c>
      <c r="E22" s="10">
        <v>135000</v>
      </c>
      <c r="F22" s="10">
        <f>SUM(B22:E22)</f>
        <v>510000</v>
      </c>
    </row>
    <row r="23" spans="1:6" x14ac:dyDescent="0.25">
      <c r="A23" t="s">
        <v>23</v>
      </c>
      <c r="B23" s="10">
        <v>350000</v>
      </c>
      <c r="C23" s="10">
        <v>365000</v>
      </c>
      <c r="D23" s="10">
        <v>380000</v>
      </c>
      <c r="E23" s="10">
        <v>400000</v>
      </c>
      <c r="F23" s="10">
        <f>SUM(B23:E23)</f>
        <v>1495000</v>
      </c>
    </row>
    <row r="24" spans="1:6" x14ac:dyDescent="0.25">
      <c r="A24" t="s">
        <v>24</v>
      </c>
      <c r="B24" s="10">
        <v>65000</v>
      </c>
      <c r="C24" s="10">
        <v>68000</v>
      </c>
      <c r="D24" s="10">
        <v>70000</v>
      </c>
      <c r="E24" s="10">
        <v>72000</v>
      </c>
      <c r="F24" s="10">
        <f>SUM(B24:E24)</f>
        <v>275000</v>
      </c>
    </row>
    <row r="25" spans="1:6" x14ac:dyDescent="0.25">
      <c r="A25" t="s">
        <v>25</v>
      </c>
      <c r="B25" s="10">
        <v>45000</v>
      </c>
      <c r="C25" s="10">
        <v>46000</v>
      </c>
      <c r="D25" s="10">
        <v>47000</v>
      </c>
      <c r="E25" s="10">
        <v>48000</v>
      </c>
      <c r="F25" s="10">
        <f>SUM(B25:E25)</f>
        <v>186000</v>
      </c>
    </row>
    <row r="26" spans="1:6" x14ac:dyDescent="0.25">
      <c r="A26" t="s">
        <v>26</v>
      </c>
      <c r="B26" s="10">
        <v>25000</v>
      </c>
      <c r="C26" s="10">
        <v>28000</v>
      </c>
      <c r="D26" s="10">
        <v>30000</v>
      </c>
      <c r="E26" s="10">
        <v>32000</v>
      </c>
      <c r="F26" s="10">
        <f>SUM(B26:E26)</f>
        <v>115000</v>
      </c>
    </row>
    <row r="27" spans="1:6" x14ac:dyDescent="0.25">
      <c r="A27" s="1" t="s">
        <v>27</v>
      </c>
      <c r="B27" s="10">
        <f>SUM(B21:B26)</f>
        <v>690000</v>
      </c>
      <c r="C27" s="10">
        <f>SUM(C21:C26)</f>
        <v>724000</v>
      </c>
      <c r="D27" s="10">
        <f>SUM(D21:D26)</f>
        <v>755000</v>
      </c>
      <c r="E27" s="10">
        <f>SUM(E21:E26)</f>
        <v>792000</v>
      </c>
      <c r="F27" s="10">
        <f>SUM(F21:F26)</f>
        <v>2961000</v>
      </c>
    </row>
    <row r="28" spans="1:6" x14ac:dyDescent="0.25">
      <c r="B28" s="10"/>
      <c r="C28" s="10"/>
      <c r="D28" s="10"/>
      <c r="E28" s="10"/>
      <c r="F28" s="10"/>
    </row>
    <row r="29" spans="1:6" x14ac:dyDescent="0.25">
      <c r="A29" s="7" t="s">
        <v>28</v>
      </c>
      <c r="B29" s="13">
        <f>B18-B27</f>
        <v>355000</v>
      </c>
      <c r="C29" s="13">
        <f>C18-C27</f>
        <v>438000</v>
      </c>
      <c r="D29" s="13">
        <f>D18-D27</f>
        <v>505000</v>
      </c>
      <c r="E29" s="13">
        <f>E18-E27</f>
        <v>638000</v>
      </c>
      <c r="F29" s="13">
        <f>F18-F27</f>
        <v>1936000</v>
      </c>
    </row>
    <row r="30" spans="1:6" x14ac:dyDescent="0.25">
      <c r="B30" s="10"/>
      <c r="C30" s="10"/>
      <c r="D30" s="10"/>
      <c r="E30" s="10"/>
      <c r="F30" s="10"/>
    </row>
    <row r="31" spans="1:6" x14ac:dyDescent="0.25">
      <c r="A31" s="1" t="s">
        <v>29</v>
      </c>
      <c r="B31" s="10"/>
      <c r="C31" s="10"/>
      <c r="D31" s="10"/>
      <c r="E31" s="10"/>
      <c r="F31" s="10"/>
    </row>
    <row r="32" spans="1:6" x14ac:dyDescent="0.25">
      <c r="A32" t="s">
        <v>30</v>
      </c>
      <c r="B32" s="10">
        <v>15000</v>
      </c>
      <c r="C32" s="10">
        <v>18000</v>
      </c>
      <c r="D32" s="10">
        <v>20000</v>
      </c>
      <c r="E32" s="10">
        <v>22000</v>
      </c>
      <c r="F32" s="10">
        <f>SUM(B32:E32)</f>
        <v>75000</v>
      </c>
    </row>
    <row r="33" spans="1:6" x14ac:dyDescent="0.25">
      <c r="A33" t="s">
        <v>31</v>
      </c>
      <c r="B33" s="10">
        <v>25000</v>
      </c>
      <c r="C33" s="10">
        <v>26000</v>
      </c>
      <c r="D33" s="10">
        <v>27000</v>
      </c>
      <c r="E33" s="10">
        <v>28000</v>
      </c>
      <c r="F33" s="10">
        <f>SUM(B33:E33)</f>
        <v>106000</v>
      </c>
    </row>
    <row r="34" spans="1:6" x14ac:dyDescent="0.25">
      <c r="A34" t="s">
        <v>32</v>
      </c>
      <c r="B34" s="10">
        <v>5000</v>
      </c>
      <c r="C34" s="10">
        <v>6000</v>
      </c>
      <c r="D34" s="10">
        <v>7000</v>
      </c>
      <c r="E34" s="10">
        <v>8000</v>
      </c>
      <c r="F34" s="10">
        <f>SUM(B34:E34)</f>
        <v>26000</v>
      </c>
    </row>
    <row r="35" spans="1:6" x14ac:dyDescent="0.25">
      <c r="A35" s="1" t="s">
        <v>33</v>
      </c>
      <c r="B35" s="10">
        <f>B32-B33+B34</f>
        <v>-5000</v>
      </c>
      <c r="C35" s="10">
        <f>C32-C33+C34</f>
        <v>-2000</v>
      </c>
      <c r="D35" s="10">
        <f>D32-D33+D34</f>
        <v>0</v>
      </c>
      <c r="E35" s="10">
        <f>E32-E33+E34</f>
        <v>2000</v>
      </c>
      <c r="F35" s="10">
        <f>SUM(F32:F34)-F33</f>
        <v>101000</v>
      </c>
    </row>
    <row r="36" spans="1:6" x14ac:dyDescent="0.25">
      <c r="B36" s="10"/>
      <c r="C36" s="10"/>
      <c r="D36" s="10"/>
      <c r="E36" s="10"/>
      <c r="F36" s="10"/>
    </row>
    <row r="37" spans="1:6" x14ac:dyDescent="0.25">
      <c r="A37" s="8" t="s">
        <v>34</v>
      </c>
      <c r="B37" s="14">
        <f>B29+B35</f>
        <v>350000</v>
      </c>
      <c r="C37" s="14">
        <f>C29+C35</f>
        <v>436000</v>
      </c>
      <c r="D37" s="14">
        <f>D29+D35</f>
        <v>505000</v>
      </c>
      <c r="E37" s="14">
        <f>E29+E35</f>
        <v>640000</v>
      </c>
      <c r="F37" s="14">
        <f>F29+F35</f>
        <v>2037000</v>
      </c>
    </row>
    <row r="38" spans="1:6" x14ac:dyDescent="0.25">
      <c r="B38" s="10"/>
      <c r="C38" s="10"/>
      <c r="D38" s="10"/>
      <c r="E38" s="10"/>
      <c r="F38" s="10"/>
    </row>
    <row r="39" spans="1:6" x14ac:dyDescent="0.25">
      <c r="A39" s="1" t="s">
        <v>35</v>
      </c>
      <c r="B39" s="10">
        <f>B37*0.21</f>
        <v>73500</v>
      </c>
      <c r="C39" s="10">
        <f>C37*0.21</f>
        <v>91560</v>
      </c>
      <c r="D39" s="10">
        <f>D37*0.21</f>
        <v>106050</v>
      </c>
      <c r="E39" s="10">
        <f>E37*0.21</f>
        <v>134400</v>
      </c>
      <c r="F39" s="10">
        <f>F37*0.21</f>
        <v>427770</v>
      </c>
    </row>
    <row r="40" spans="1:6" x14ac:dyDescent="0.25">
      <c r="B40" s="10"/>
      <c r="C40" s="10"/>
      <c r="D40" s="10"/>
      <c r="E40" s="10"/>
      <c r="F40" s="10"/>
    </row>
    <row r="41" spans="1:6" x14ac:dyDescent="0.25">
      <c r="A41" s="9" t="s">
        <v>36</v>
      </c>
      <c r="B41" s="15">
        <f>B37-B39</f>
        <v>276500</v>
      </c>
      <c r="C41" s="15">
        <f>C37-C39</f>
        <v>344440</v>
      </c>
      <c r="D41" s="15">
        <f>D37-D39</f>
        <v>398950</v>
      </c>
      <c r="E41" s="15">
        <f>E37-E39</f>
        <v>505600</v>
      </c>
      <c r="F41" s="15">
        <f>F37-F39</f>
        <v>1609230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4BC62-EB0F-4612-9E46-7F49FF2ED34E}">
  <dimension ref="A1:E36"/>
  <sheetViews>
    <sheetView topLeftCell="A24" workbookViewId="0">
      <selection activeCell="A47" sqref="A47"/>
    </sheetView>
  </sheetViews>
  <sheetFormatPr defaultRowHeight="15" x14ac:dyDescent="0.25"/>
  <cols>
    <col min="1" max="1" width="25.7109375" customWidth="1"/>
    <col min="2" max="4" width="15.7109375" customWidth="1"/>
    <col min="5" max="5" width="10.7109375" customWidth="1"/>
  </cols>
  <sheetData>
    <row r="1" spans="1:5" ht="26.25" x14ac:dyDescent="0.4">
      <c r="A1" s="16" t="s">
        <v>37</v>
      </c>
    </row>
    <row r="2" spans="1:5" ht="18.75" x14ac:dyDescent="0.3">
      <c r="A2" s="17" t="s">
        <v>38</v>
      </c>
    </row>
    <row r="4" spans="1:5" ht="21" x14ac:dyDescent="0.35">
      <c r="A4" s="2" t="s">
        <v>39</v>
      </c>
    </row>
    <row r="5" spans="1:5" x14ac:dyDescent="0.25">
      <c r="A5" s="18" t="s">
        <v>40</v>
      </c>
      <c r="B5" s="18" t="s">
        <v>41</v>
      </c>
      <c r="C5" s="18" t="s">
        <v>42</v>
      </c>
      <c r="D5" s="18" t="s">
        <v>43</v>
      </c>
      <c r="E5" s="18" t="s">
        <v>44</v>
      </c>
    </row>
    <row r="6" spans="1:5" x14ac:dyDescent="0.25">
      <c r="A6" t="s">
        <v>13</v>
      </c>
      <c r="B6" s="10">
        <f>Income_Statement!F10</f>
        <v>9412000</v>
      </c>
      <c r="C6" s="10">
        <v>6000000</v>
      </c>
      <c r="D6" t="str">
        <f>IF(B6&gt;=C6,"On Target","Below Target")</f>
        <v>On Target</v>
      </c>
      <c r="E6" t="str">
        <f>IF(B6&gt;Income_Statement!E10,"↑",IF(B6&lt;Income_Statement!E10,"↓","→"))</f>
        <v>↑</v>
      </c>
    </row>
    <row r="7" spans="1:5" x14ac:dyDescent="0.25">
      <c r="A7" t="s">
        <v>45</v>
      </c>
      <c r="B7" s="19">
        <f>Income_Statement!F18/Income_Statement!F10</f>
        <v>0.52029324266893329</v>
      </c>
      <c r="C7" s="19">
        <v>0.45</v>
      </c>
      <c r="D7" t="str">
        <f>IF(B7&gt;=C7,"On Target","Below Target")</f>
        <v>On Target</v>
      </c>
      <c r="E7" t="str">
        <f>IF(B7&gt;Income_Statement!E18/Income_Statement!E10,"↑",IF(B7&lt;Income_Statement!E18/Income_Statement!E10,"↓","→"))</f>
        <v>↓</v>
      </c>
    </row>
    <row r="8" spans="1:5" x14ac:dyDescent="0.25">
      <c r="A8" t="s">
        <v>46</v>
      </c>
      <c r="B8" s="19">
        <f>Income_Statement!F29/Income_Statement!F10</f>
        <v>0.2056948576285593</v>
      </c>
      <c r="C8" s="19">
        <v>0.25</v>
      </c>
      <c r="D8" t="str">
        <f>IF(B8&gt;=C8,"On Target","Below Target")</f>
        <v>Below Target</v>
      </c>
      <c r="E8" t="str">
        <f>IF(B8&gt;Income_Statement!E29/Income_Statement!E10,"↑",IF(B8&lt;Income_Statement!E29/Income_Statement!E10,"↓","→"))</f>
        <v>↓</v>
      </c>
    </row>
    <row r="9" spans="1:5" x14ac:dyDescent="0.25">
      <c r="A9" t="s">
        <v>47</v>
      </c>
      <c r="B9" s="19">
        <f>Income_Statement!F41/Income_Statement!F10</f>
        <v>0.17097641308967276</v>
      </c>
      <c r="C9" s="19">
        <v>0.18</v>
      </c>
      <c r="D9" t="str">
        <f>IF(B9&gt;=C9,"On Target","Below Target")</f>
        <v>Below Target</v>
      </c>
      <c r="E9" t="str">
        <f>IF(B9&gt;Income_Statement!E41/Income_Statement!E10,"↑",IF(B9&lt;Income_Statement!E41/Income_Statement!E10,"↓","→"))</f>
        <v>↓</v>
      </c>
    </row>
    <row r="10" spans="1:5" x14ac:dyDescent="0.25">
      <c r="A10" t="s">
        <v>48</v>
      </c>
      <c r="B10">
        <v>2.5</v>
      </c>
      <c r="C10" s="20">
        <v>2</v>
      </c>
      <c r="D10" t="str">
        <f>IF(B10&gt;=C10,"Strong","Weak")</f>
        <v>Strong</v>
      </c>
      <c r="E10" t="s">
        <v>68</v>
      </c>
    </row>
    <row r="11" spans="1:5" x14ac:dyDescent="0.25">
      <c r="A11" t="s">
        <v>49</v>
      </c>
      <c r="B11">
        <v>0.65</v>
      </c>
      <c r="C11" s="20">
        <v>0.75</v>
      </c>
      <c r="D11" t="str">
        <f>IF(B11&lt;=C11,"Good","High")</f>
        <v>Good</v>
      </c>
      <c r="E11" t="s">
        <v>68</v>
      </c>
    </row>
    <row r="12" spans="1:5" x14ac:dyDescent="0.25">
      <c r="A12" t="s">
        <v>50</v>
      </c>
      <c r="B12">
        <v>0.12</v>
      </c>
      <c r="C12" s="20">
        <v>0.1</v>
      </c>
      <c r="D12" t="str">
        <f>IF(B12&gt;=C12,"Good","Poor")</f>
        <v>Good</v>
      </c>
      <c r="E12" t="s">
        <v>69</v>
      </c>
    </row>
    <row r="13" spans="1:5" x14ac:dyDescent="0.25">
      <c r="A13" t="s">
        <v>51</v>
      </c>
      <c r="B13">
        <v>0.22</v>
      </c>
      <c r="C13" s="20">
        <v>0.18</v>
      </c>
      <c r="D13" t="str">
        <f>IF(B13&gt;=C13,"Excellent","Good")</f>
        <v>Excellent</v>
      </c>
      <c r="E13" t="s">
        <v>69</v>
      </c>
    </row>
    <row r="14" spans="1:5" x14ac:dyDescent="0.25">
      <c r="A14" t="s">
        <v>52</v>
      </c>
      <c r="B14">
        <v>3.45</v>
      </c>
      <c r="C14" s="20">
        <v>3</v>
      </c>
      <c r="D14" t="str">
        <f>IF(B14&gt;=C14,"Above Target","Below Target")</f>
        <v>Above Target</v>
      </c>
      <c r="E14" t="s">
        <v>69</v>
      </c>
    </row>
    <row r="15" spans="1:5" x14ac:dyDescent="0.25">
      <c r="A15" t="s">
        <v>53</v>
      </c>
      <c r="B15">
        <v>8.5000000000000006E-2</v>
      </c>
      <c r="C15" s="20">
        <v>0.1</v>
      </c>
      <c r="D15" t="str">
        <f>IF(B15&gt;=C15,"On Track","Needs Improvement")</f>
        <v>Needs Improvement</v>
      </c>
      <c r="E15" t="s">
        <v>68</v>
      </c>
    </row>
    <row r="17" spans="1:2" ht="21" x14ac:dyDescent="0.35">
      <c r="A17" s="2" t="s">
        <v>54</v>
      </c>
    </row>
    <row r="18" spans="1:2" x14ac:dyDescent="0.25">
      <c r="A18" t="s">
        <v>55</v>
      </c>
      <c r="B18" s="10">
        <v>8500000</v>
      </c>
    </row>
    <row r="19" spans="1:2" x14ac:dyDescent="0.25">
      <c r="A19" t="s">
        <v>56</v>
      </c>
      <c r="B19" s="10">
        <v>4200000</v>
      </c>
    </row>
    <row r="20" spans="1:2" x14ac:dyDescent="0.25">
      <c r="A20" t="s">
        <v>57</v>
      </c>
      <c r="B20" s="10">
        <v>4300000</v>
      </c>
    </row>
    <row r="21" spans="1:2" x14ac:dyDescent="0.25">
      <c r="A21" t="s">
        <v>58</v>
      </c>
      <c r="B21" s="10">
        <v>1250000</v>
      </c>
    </row>
    <row r="22" spans="1:2" x14ac:dyDescent="0.25">
      <c r="A22" t="s">
        <v>59</v>
      </c>
      <c r="B22" s="10">
        <v>2100000</v>
      </c>
    </row>
    <row r="24" spans="1:2" ht="21" x14ac:dyDescent="0.35">
      <c r="A24" s="2" t="s">
        <v>60</v>
      </c>
    </row>
    <row r="25" spans="1:2" x14ac:dyDescent="0.25">
      <c r="A25" t="s">
        <v>61</v>
      </c>
      <c r="B25" s="19">
        <v>0.15</v>
      </c>
    </row>
    <row r="26" spans="1:2" x14ac:dyDescent="0.25">
      <c r="A26" t="s">
        <v>62</v>
      </c>
      <c r="B26" s="19">
        <v>0.22</v>
      </c>
    </row>
    <row r="27" spans="1:2" x14ac:dyDescent="0.25">
      <c r="A27" t="s">
        <v>63</v>
      </c>
      <c r="B27" s="19">
        <v>0.68</v>
      </c>
    </row>
    <row r="29" spans="1:2" ht="21" x14ac:dyDescent="0.35">
      <c r="A29" s="2" t="s">
        <v>64</v>
      </c>
    </row>
    <row r="30" spans="1:2" x14ac:dyDescent="0.25">
      <c r="A30" t="s">
        <v>65</v>
      </c>
      <c r="B30" s="10">
        <v>1650000</v>
      </c>
    </row>
    <row r="31" spans="1:2" x14ac:dyDescent="0.25">
      <c r="A31" t="s">
        <v>66</v>
      </c>
      <c r="B31" s="10">
        <v>450000</v>
      </c>
    </row>
    <row r="32" spans="1:2" x14ac:dyDescent="0.25">
      <c r="A32" t="s">
        <v>67</v>
      </c>
      <c r="B32" s="19">
        <v>0.2</v>
      </c>
    </row>
    <row r="35" spans="1:1" x14ac:dyDescent="0.25">
      <c r="A35" t="s">
        <v>70</v>
      </c>
    </row>
    <row r="36" spans="1:1" x14ac:dyDescent="0.25">
      <c r="A36" s="21" t="str">
        <f>HYPERLINK("https://mica.mindlink.tools", "Copyright © 2025 MICA")</f>
        <v>Copyright © 2025 MICA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Quarterly_Analysis</vt:lpstr>
      <vt:lpstr>Financial_Ratios</vt:lpstr>
      <vt:lpstr>Cash_Flow</vt:lpstr>
      <vt:lpstr>Balance_Sheet</vt:lpstr>
      <vt:lpstr>Income_Statement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2026-01-18T05:25:05Z</dcterms:created>
  <dcterms:modified xsi:type="dcterms:W3CDTF">2026-01-18T05:42:13Z</dcterms:modified>
</cp:coreProperties>
</file>