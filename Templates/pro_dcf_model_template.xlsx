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workdata\"/>
    </mc:Choice>
  </mc:AlternateContent>
  <xr:revisionPtr revIDLastSave="0" documentId="13_ncr:1_{B335A2EB-AF87-43C4-AC28-DDCAF3CB173A}" xr6:coauthVersionLast="47" xr6:coauthVersionMax="47" xr10:uidLastSave="{00000000-0000-0000-0000-000000000000}"/>
  <bookViews>
    <workbookView xWindow="-45" yWindow="135" windowWidth="11880" windowHeight="10305" firstSheet="6" activeTab="6" xr2:uid="{3CADD82B-D281-467F-9A16-0C23704D8609}"/>
  </bookViews>
  <sheets>
    <sheet name="Sensitivity" sheetId="8" r:id="rId1"/>
    <sheet name="Valuation" sheetId="7" r:id="rId2"/>
    <sheet name="Discount_Rate" sheetId="6" r:id="rId3"/>
    <sheet name="FCF_Calculation" sheetId="5" r:id="rId4"/>
    <sheet name="Expenses" sheetId="4" r:id="rId5"/>
    <sheet name="Revenue_Projections" sheetId="3" r:id="rId6"/>
    <sheet name="Input_Assumptions" sheetId="2" r:id="rId7"/>
    <sheet name="Summary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" i="8" l="1"/>
  <c r="D14" i="8"/>
  <c r="C14" i="8"/>
  <c r="B14" i="8"/>
  <c r="E13" i="8"/>
  <c r="D13" i="8"/>
  <c r="C13" i="8"/>
  <c r="B13" i="8"/>
  <c r="E12" i="8"/>
  <c r="D12" i="8"/>
  <c r="C12" i="8"/>
  <c r="B12" i="8"/>
  <c r="F8" i="8"/>
  <c r="E8" i="8"/>
  <c r="D8" i="8"/>
  <c r="C8" i="8"/>
  <c r="B8" i="8"/>
  <c r="F7" i="8"/>
  <c r="E7" i="8"/>
  <c r="D7" i="8"/>
  <c r="C7" i="8"/>
  <c r="B7" i="8"/>
  <c r="F6" i="8"/>
  <c r="E6" i="8"/>
  <c r="D6" i="8"/>
  <c r="C6" i="8"/>
  <c r="B6" i="8"/>
  <c r="F5" i="8"/>
  <c r="E5" i="8"/>
  <c r="D5" i="8"/>
  <c r="C5" i="8"/>
  <c r="B5" i="8"/>
  <c r="F4" i="8"/>
  <c r="E4" i="8"/>
  <c r="D4" i="8"/>
  <c r="C4" i="8"/>
  <c r="B4" i="8"/>
  <c r="B24" i="7"/>
  <c r="B23" i="7"/>
  <c r="B22" i="7"/>
  <c r="B21" i="7"/>
  <c r="B20" i="7"/>
  <c r="B19" i="7"/>
  <c r="B18" i="7"/>
  <c r="B17" i="7"/>
  <c r="B14" i="7"/>
  <c r="B13" i="7"/>
  <c r="B12" i="7"/>
  <c r="B11" i="7"/>
  <c r="B10" i="7"/>
  <c r="F7" i="7"/>
  <c r="E7" i="7"/>
  <c r="D7" i="7"/>
  <c r="C7" i="7"/>
  <c r="B7" i="7"/>
  <c r="F6" i="7"/>
  <c r="E6" i="7"/>
  <c r="D6" i="7"/>
  <c r="C6" i="7"/>
  <c r="B6" i="7"/>
  <c r="F5" i="7"/>
  <c r="E5" i="7"/>
  <c r="D5" i="7"/>
  <c r="C5" i="7"/>
  <c r="B5" i="7"/>
  <c r="F24" i="6"/>
  <c r="E24" i="6"/>
  <c r="D24" i="6"/>
  <c r="C24" i="6"/>
  <c r="B24" i="6"/>
  <c r="B20" i="6"/>
  <c r="B17" i="6"/>
  <c r="B16" i="6"/>
  <c r="B15" i="6"/>
  <c r="B12" i="6"/>
  <c r="B11" i="6"/>
  <c r="B10" i="6"/>
  <c r="B7" i="6"/>
  <c r="B6" i="6"/>
  <c r="B5" i="6"/>
  <c r="B4" i="6"/>
  <c r="F12" i="5"/>
  <c r="E12" i="5"/>
  <c r="D12" i="5"/>
  <c r="C12" i="5"/>
  <c r="B12" i="5"/>
  <c r="F10" i="5"/>
  <c r="E10" i="5"/>
  <c r="D10" i="5"/>
  <c r="C10" i="5"/>
  <c r="B10" i="5"/>
  <c r="F8" i="5"/>
  <c r="E8" i="5"/>
  <c r="D8" i="5"/>
  <c r="C8" i="5"/>
  <c r="B8" i="5"/>
  <c r="F7" i="5"/>
  <c r="E7" i="5"/>
  <c r="D7" i="5"/>
  <c r="C7" i="5"/>
  <c r="B7" i="5"/>
  <c r="F6" i="5"/>
  <c r="E6" i="5"/>
  <c r="D6" i="5"/>
  <c r="C6" i="5"/>
  <c r="B6" i="5"/>
  <c r="F5" i="5"/>
  <c r="E5" i="5"/>
  <c r="D5" i="5"/>
  <c r="C5" i="5"/>
  <c r="B5" i="5"/>
  <c r="F10" i="4"/>
  <c r="E10" i="4"/>
  <c r="D10" i="4"/>
  <c r="C10" i="4"/>
  <c r="B10" i="4"/>
  <c r="F9" i="4"/>
  <c r="E9" i="4"/>
  <c r="D9" i="4"/>
  <c r="C9" i="4"/>
  <c r="B9" i="4"/>
  <c r="F8" i="4"/>
  <c r="E8" i="4"/>
  <c r="E6" i="4" s="1"/>
  <c r="E7" i="4" s="1"/>
  <c r="D8" i="4"/>
  <c r="C8" i="4"/>
  <c r="B8" i="4"/>
  <c r="B6" i="4" s="1"/>
  <c r="B7" i="4" s="1"/>
  <c r="F6" i="4"/>
  <c r="F7" i="4" s="1"/>
  <c r="D6" i="4"/>
  <c r="D7" i="4" s="1"/>
  <c r="C6" i="4"/>
  <c r="C7" i="4" s="1"/>
  <c r="F5" i="4"/>
  <c r="E5" i="4"/>
  <c r="D5" i="4"/>
  <c r="C5" i="4"/>
  <c r="B5" i="4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6" i="3"/>
  <c r="E6" i="3"/>
  <c r="D6" i="3"/>
  <c r="C6" i="3"/>
  <c r="F5" i="3"/>
  <c r="E5" i="3"/>
  <c r="D5" i="3"/>
  <c r="C5" i="3"/>
  <c r="B5" i="3"/>
</calcChain>
</file>

<file path=xl/sharedStrings.xml><?xml version="1.0" encoding="utf-8"?>
<sst xmlns="http://schemas.openxmlformats.org/spreadsheetml/2006/main" count="134" uniqueCount="119">
  <si>
    <t>DISCOUNTED CASH FLOW (DCF) MODEL - INPUT ASSUMPTIONS</t>
  </si>
  <si>
    <t>Company Information</t>
  </si>
  <si>
    <t>Company Name:</t>
  </si>
  <si>
    <t>Sample Company Inc.</t>
  </si>
  <si>
    <t>Industry:</t>
  </si>
  <si>
    <t>Technology</t>
  </si>
  <si>
    <t>Base Year:</t>
  </si>
  <si>
    <t>Forecast Period</t>
  </si>
  <si>
    <t>Forecast Years:</t>
  </si>
  <si>
    <t>Revenue Assumptions</t>
  </si>
  <si>
    <t>Current Revenue ($):</t>
  </si>
  <si>
    <t>Revenue Growth Rate (%):</t>
  </si>
  <si>
    <t>Terminal Growth Rate (%):</t>
  </si>
  <si>
    <t>Expense Assumptions</t>
  </si>
  <si>
    <t>COGS (% of Revenue):</t>
  </si>
  <si>
    <t>Operating Expenses (% of Revenue):</t>
  </si>
  <si>
    <t>Depreciation (% of Capex):</t>
  </si>
  <si>
    <t>Tax Rate (%):</t>
  </si>
  <si>
    <t>Capital Expenditure</t>
  </si>
  <si>
    <t>Capex (% of Revenue):</t>
  </si>
  <si>
    <t>Working Capital (% of Revenue):</t>
  </si>
  <si>
    <t>Discount Rate Assumptions</t>
  </si>
  <si>
    <t>Risk-Free Rate (%):</t>
  </si>
  <si>
    <t>Market Risk Premium (%):</t>
  </si>
  <si>
    <t>Beta:</t>
  </si>
  <si>
    <t>Cost of Debt (%):</t>
  </si>
  <si>
    <t>Debt/Equity Ratio:</t>
  </si>
  <si>
    <t>Terminal Value Assumptions</t>
  </si>
  <si>
    <t>Exit Multiple (EV/EBITDA):</t>
  </si>
  <si>
    <t>REVENUE PROJECTIONS (5-YEAR FORECAST)</t>
  </si>
  <si>
    <t>Year</t>
  </si>
  <si>
    <t>Revenue ($)</t>
  </si>
  <si>
    <t>Growth Rate</t>
  </si>
  <si>
    <t>-</t>
  </si>
  <si>
    <t>Cost of Goods Sold (COGS)</t>
  </si>
  <si>
    <t>Gross Profit</t>
  </si>
  <si>
    <t>Gross Margin</t>
  </si>
  <si>
    <t>OPERATING EXPENSES &amp; EBITDA</t>
  </si>
  <si>
    <t>Operating Expenses ($)</t>
  </si>
  <si>
    <t>Depreciation ($)</t>
  </si>
  <si>
    <t>EBIT</t>
  </si>
  <si>
    <t>Capital Expenditure (Capex)</t>
  </si>
  <si>
    <t>Taxes</t>
  </si>
  <si>
    <t>NOPAT (Net Operating Profit After Tax)</t>
  </si>
  <si>
    <t>FREE CASH FLOW (FCF) CALCULATION</t>
  </si>
  <si>
    <t>NOPAT</t>
  </si>
  <si>
    <t>Add: Depreciation</t>
  </si>
  <si>
    <t>Less: Capital Expenditure</t>
  </si>
  <si>
    <t>Less: Change in Working Capital</t>
  </si>
  <si>
    <t>Free Cash Flow (FCF)</t>
  </si>
  <si>
    <t>Cumulative FCF</t>
  </si>
  <si>
    <t>WEIGHTED AVERAGE COST OF CAPITAL (WACC) CALCULATION</t>
  </si>
  <si>
    <t>Cost of Equity (CAPM)</t>
  </si>
  <si>
    <t>Risk-Free Rate:</t>
  </si>
  <si>
    <t>Market Risk Premium:</t>
  </si>
  <si>
    <t>Cost of Equity:</t>
  </si>
  <si>
    <t>Cost of Debt</t>
  </si>
  <si>
    <t>Pre-tax Cost of Debt:</t>
  </si>
  <si>
    <t>Tax Rate:</t>
  </si>
  <si>
    <t>After-tax Cost of Debt:</t>
  </si>
  <si>
    <t>Capital Structure</t>
  </si>
  <si>
    <t>Weight of Debt:</t>
  </si>
  <si>
    <t>Weight of Equity:</t>
  </si>
  <si>
    <t>WACC Calculation</t>
  </si>
  <si>
    <t>WACC:</t>
  </si>
  <si>
    <t>Discount Factors</t>
  </si>
  <si>
    <t>Discount Factor</t>
  </si>
  <si>
    <t>DISCOUNTED CASH FLOW VALUATION</t>
  </si>
  <si>
    <t>Free Cash Flow</t>
  </si>
  <si>
    <t>Present Value of FCF</t>
  </si>
  <si>
    <t>Terminal Value Calculation</t>
  </si>
  <si>
    <t>Terminal FCF (2029)</t>
  </si>
  <si>
    <t>Terminal Growth Rate:</t>
  </si>
  <si>
    <t>Terminal Value (at end of 2028)</t>
  </si>
  <si>
    <t>Present Value of Terminal Value</t>
  </si>
  <si>
    <t>Valuation Summary</t>
  </si>
  <si>
    <t>Sum of PV of FCF (2024-2028)</t>
  </si>
  <si>
    <t>PV of Terminal Value</t>
  </si>
  <si>
    <t>Enterprise Value</t>
  </si>
  <si>
    <t>Plus: Cash &amp; Equivalents</t>
  </si>
  <si>
    <t>Less: Debt</t>
  </si>
  <si>
    <t>Equity Value</t>
  </si>
  <si>
    <t>Shares Outstanding</t>
  </si>
  <si>
    <t>Value per Share</t>
  </si>
  <si>
    <t>SENSITIVITY ANALYSIS - VALUE PER SHARE</t>
  </si>
  <si>
    <t>WACC / Growth</t>
  </si>
  <si>
    <t>Key Drivers Sensitivity</t>
  </si>
  <si>
    <t>Variable</t>
  </si>
  <si>
    <t>Base Case</t>
  </si>
  <si>
    <t>Impact on Value/Share</t>
  </si>
  <si>
    <t>Revenue Growth</t>
  </si>
  <si>
    <t>WACC</t>
  </si>
  <si>
    <t>Terminal Growth</t>
  </si>
  <si>
    <t>DISCOUNTED CASH FLOW (DCF) MODEL - EXECUTIVE SUMMARY</t>
  </si>
  <si>
    <t>Valuation Results</t>
  </si>
  <si>
    <t>Enterprise Value:</t>
  </si>
  <si>
    <t>See Valuation Sheet</t>
  </si>
  <si>
    <t>Equity Value:</t>
  </si>
  <si>
    <t>Value per Share:</t>
  </si>
  <si>
    <t>Key Financial Metrics</t>
  </si>
  <si>
    <t>Current Revenue:</t>
  </si>
  <si>
    <t>See Input_Assumptions</t>
  </si>
  <si>
    <t>5-Year Revenue CAGR:</t>
  </si>
  <si>
    <t>See Discount_Rate</t>
  </si>
  <si>
    <t>Model Navigation</t>
  </si>
  <si>
    <t>1. Input_Assumptions - Key model parameters</t>
  </si>
  <si>
    <t>2. Revenue_Projections - 5-year revenue forecast</t>
  </si>
  <si>
    <t>3. Expenses - Operating expenses &amp; EBITDA</t>
  </si>
  <si>
    <t>4. FCF_Calculation - Free cash flow derivation</t>
  </si>
  <si>
    <t>5. Discount_Rate - WACC calculation</t>
  </si>
  <si>
    <t>6. Valuation - DCF valuation results</t>
  </si>
  <si>
    <t>7. Sensitivity - Sensitivity analysis</t>
  </si>
  <si>
    <t>Instructions</t>
  </si>
  <si>
    <t>1. Update assumptions in Input_Assumptions sheet</t>
  </si>
  <si>
    <t>2. Review revenue projections in Revenue_Projections</t>
  </si>
  <si>
    <t>3. Check valuation results in Valuation sheet</t>
  </si>
  <si>
    <t>4. Analyze sensitivity in Sensitivity sheet</t>
  </si>
  <si>
    <t>Model Created: January 2024</t>
  </si>
  <si>
    <t>Copyright © 2024 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</si>
</sst>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2E74B5"/>
      <name val="Calibri"/>
      <family val="2"/>
      <scheme val="minor"/>
    </font>
    <font>
      <b/>
      <sz val="14"/>
      <color rgb="FF2E74B5"/>
      <name val="Calibri"/>
      <family val="2"/>
      <scheme val="minor"/>
    </font>
    <font>
      <b/>
      <sz val="11"/>
      <color rgb="FF2E74B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10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934D-77F9-4031-A15D-F63BF73D85A1}">
  <dimension ref="A1:F14"/>
  <sheetViews>
    <sheetView workbookViewId="0">
      <selection activeCell="C13" sqref="C13"/>
    </sheetView>
  </sheetViews>
  <sheetFormatPr defaultRowHeight="15" x14ac:dyDescent="0.25"/>
  <sheetData>
    <row r="1" spans="1:6" x14ac:dyDescent="0.25">
      <c r="A1" t="s">
        <v>84</v>
      </c>
    </row>
    <row r="3" spans="1:6" x14ac:dyDescent="0.25">
      <c r="A3" t="s">
        <v>85</v>
      </c>
      <c r="B3" s="2">
        <v>0.02</v>
      </c>
      <c r="C3" s="2">
        <v>2.5000000000000001E-2</v>
      </c>
      <c r="D3" s="2">
        <v>0.03</v>
      </c>
      <c r="E3" s="2">
        <v>3.5000000000000003E-2</v>
      </c>
      <c r="F3" s="2">
        <v>0.04</v>
      </c>
    </row>
    <row r="4" spans="1:6" x14ac:dyDescent="0.25">
      <c r="A4" s="2">
        <v>0.1</v>
      </c>
      <c r="B4">
        <f>Valuation!B24</f>
        <v>31.353052678323039</v>
      </c>
      <c r="C4">
        <f>Valuation!B24</f>
        <v>31.353052678323039</v>
      </c>
      <c r="D4">
        <f>Valuation!B24</f>
        <v>31.353052678323039</v>
      </c>
      <c r="E4">
        <f>Valuation!B24</f>
        <v>31.353052678323039</v>
      </c>
      <c r="F4">
        <f>Valuation!B24</f>
        <v>31.353052678323039</v>
      </c>
    </row>
    <row r="5" spans="1:6" x14ac:dyDescent="0.25">
      <c r="A5" s="2">
        <v>0.105</v>
      </c>
      <c r="B5">
        <f>Valuation!B24</f>
        <v>31.353052678323039</v>
      </c>
      <c r="C5">
        <f>Valuation!B24</f>
        <v>31.353052678323039</v>
      </c>
      <c r="D5">
        <f>Valuation!B24</f>
        <v>31.353052678323039</v>
      </c>
      <c r="E5">
        <f>Valuation!B24</f>
        <v>31.353052678323039</v>
      </c>
      <c r="F5">
        <f>Valuation!B24</f>
        <v>31.353052678323039</v>
      </c>
    </row>
    <row r="6" spans="1:6" x14ac:dyDescent="0.25">
      <c r="A6" s="2">
        <v>0.11</v>
      </c>
      <c r="B6">
        <f>Valuation!B24</f>
        <v>31.353052678323039</v>
      </c>
      <c r="C6">
        <f>Valuation!B24</f>
        <v>31.353052678323039</v>
      </c>
      <c r="D6">
        <f>Valuation!B24</f>
        <v>31.353052678323039</v>
      </c>
      <c r="E6">
        <f>Valuation!B24</f>
        <v>31.353052678323039</v>
      </c>
      <c r="F6">
        <f>Valuation!B24</f>
        <v>31.353052678323039</v>
      </c>
    </row>
    <row r="7" spans="1:6" x14ac:dyDescent="0.25">
      <c r="A7" s="2">
        <v>0.115</v>
      </c>
      <c r="B7">
        <f>Valuation!B24</f>
        <v>31.353052678323039</v>
      </c>
      <c r="C7">
        <f>Valuation!B24</f>
        <v>31.353052678323039</v>
      </c>
      <c r="D7">
        <f>Valuation!B24</f>
        <v>31.353052678323039</v>
      </c>
      <c r="E7">
        <f>Valuation!B24</f>
        <v>31.353052678323039</v>
      </c>
      <c r="F7">
        <f>Valuation!B24</f>
        <v>31.353052678323039</v>
      </c>
    </row>
    <row r="8" spans="1:6" x14ac:dyDescent="0.25">
      <c r="A8" s="2">
        <v>0.12</v>
      </c>
      <c r="B8">
        <f>Valuation!B24</f>
        <v>31.353052678323039</v>
      </c>
      <c r="C8">
        <f>Valuation!B24</f>
        <v>31.353052678323039</v>
      </c>
      <c r="D8">
        <f>Valuation!B24</f>
        <v>31.353052678323039</v>
      </c>
      <c r="E8">
        <f>Valuation!B24</f>
        <v>31.353052678323039</v>
      </c>
      <c r="F8">
        <f>Valuation!B24</f>
        <v>31.353052678323039</v>
      </c>
    </row>
    <row r="10" spans="1:6" x14ac:dyDescent="0.25">
      <c r="A10" t="s">
        <v>86</v>
      </c>
    </row>
    <row r="11" spans="1:6" x14ac:dyDescent="0.25">
      <c r="A11" t="s">
        <v>87</v>
      </c>
      <c r="B11" t="s">
        <v>88</v>
      </c>
      <c r="C11" s="1">
        <v>0.1</v>
      </c>
      <c r="D11" s="1">
        <v>-0.1</v>
      </c>
      <c r="E11" t="s">
        <v>89</v>
      </c>
    </row>
    <row r="12" spans="1:6" x14ac:dyDescent="0.25">
      <c r="A12" t="s">
        <v>90</v>
      </c>
      <c r="B12" s="1">
        <f>Input_Assumptions!B13</f>
        <v>0.15</v>
      </c>
      <c r="C12">
        <f>B12*1.1</f>
        <v>0.16500000000000001</v>
      </c>
      <c r="D12">
        <f>B12*0.9</f>
        <v>0.13500000000000001</v>
      </c>
      <c r="E12">
        <f>Valuation!B24</f>
        <v>31.353052678323039</v>
      </c>
    </row>
    <row r="13" spans="1:6" x14ac:dyDescent="0.25">
      <c r="A13" t="s">
        <v>91</v>
      </c>
      <c r="B13">
        <f>Discount_Rate!B20</f>
        <v>0.10038461538461536</v>
      </c>
      <c r="C13">
        <f>B13*1.1</f>
        <v>0.11042307692307692</v>
      </c>
      <c r="D13">
        <f>B13*0.9</f>
        <v>9.0346153846153826E-2</v>
      </c>
      <c r="E13">
        <f>Valuation!B24</f>
        <v>31.353052678323039</v>
      </c>
    </row>
    <row r="14" spans="1:6" x14ac:dyDescent="0.25">
      <c r="A14" t="s">
        <v>92</v>
      </c>
      <c r="B14" s="1">
        <f>Input_Assumptions!B34</f>
        <v>0.03</v>
      </c>
      <c r="C14">
        <f>B14*1.1</f>
        <v>3.3000000000000002E-2</v>
      </c>
      <c r="D14">
        <f>B14*0.9</f>
        <v>2.7E-2</v>
      </c>
      <c r="E14">
        <f>Valuation!B24</f>
        <v>31.353052678323039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4A77-2A70-4C1E-9A10-EFCC6079EC0A}">
  <dimension ref="A1:F24"/>
  <sheetViews>
    <sheetView workbookViewId="0">
      <selection sqref="A1:F24"/>
    </sheetView>
  </sheetViews>
  <sheetFormatPr defaultRowHeight="15" x14ac:dyDescent="0.25"/>
  <sheetData>
    <row r="1" spans="1:6" x14ac:dyDescent="0.25">
      <c r="A1" t="s">
        <v>67</v>
      </c>
    </row>
    <row r="3" spans="1:6" x14ac:dyDescent="0.25">
      <c r="A3" t="s">
        <v>30</v>
      </c>
      <c r="B3">
        <v>2024</v>
      </c>
      <c r="C3">
        <v>2025</v>
      </c>
      <c r="D3">
        <v>2026</v>
      </c>
      <c r="E3">
        <v>2027</v>
      </c>
      <c r="F3">
        <v>2028</v>
      </c>
    </row>
    <row r="5" spans="1:6" x14ac:dyDescent="0.25">
      <c r="A5" t="s">
        <v>68</v>
      </c>
      <c r="B5">
        <f>FCF_Calculation!B10</f>
        <v>865000</v>
      </c>
      <c r="C5">
        <f>FCF_Calculation!C10</f>
        <v>1994750</v>
      </c>
      <c r="D5">
        <f>FCF_Calculation!D10</f>
        <v>2293962.4999999991</v>
      </c>
      <c r="E5">
        <f>FCF_Calculation!E10</f>
        <v>2638056.8749999981</v>
      </c>
      <c r="F5">
        <f>FCF_Calculation!F10</f>
        <v>3033765.4062499991</v>
      </c>
    </row>
    <row r="6" spans="1:6" x14ac:dyDescent="0.25">
      <c r="A6" t="s">
        <v>66</v>
      </c>
      <c r="B6">
        <f>Discount_Rate!B24</f>
        <v>0.90877315623907728</v>
      </c>
      <c r="C6">
        <f>Discount_Rate!C24</f>
        <v>0.82586864950073446</v>
      </c>
      <c r="D6">
        <f>Discount_Rate!D24</f>
        <v>0.75052725924568675</v>
      </c>
      <c r="E6">
        <f>Discount_Rate!E24</f>
        <v>0.68205902622816705</v>
      </c>
      <c r="F6">
        <f>Discount_Rate!F24</f>
        <v>0.61983693400672302</v>
      </c>
    </row>
    <row r="7" spans="1:6" x14ac:dyDescent="0.25">
      <c r="A7" t="s">
        <v>69</v>
      </c>
      <c r="B7">
        <f>B5*B6</f>
        <v>786088.78014680184</v>
      </c>
      <c r="C7">
        <f>C5*C6</f>
        <v>1647401.48859159</v>
      </c>
      <c r="D7">
        <f>D5*D6</f>
        <v>1721681.387937383</v>
      </c>
      <c r="E7">
        <f>E5*E6</f>
        <v>1799310.5032970202</v>
      </c>
      <c r="F7">
        <f>F5*F6</f>
        <v>1880439.8479056598</v>
      </c>
    </row>
    <row r="9" spans="1:6" x14ac:dyDescent="0.25">
      <c r="A9" t="s">
        <v>70</v>
      </c>
    </row>
    <row r="10" spans="1:6" x14ac:dyDescent="0.25">
      <c r="A10" t="s">
        <v>71</v>
      </c>
      <c r="B10">
        <f>F5*(1+Input_Assumptions!B34)</f>
        <v>3124778.3684374993</v>
      </c>
    </row>
    <row r="11" spans="1:6" x14ac:dyDescent="0.25">
      <c r="A11" t="s">
        <v>72</v>
      </c>
      <c r="B11" s="1">
        <f>Input_Assumptions!B34</f>
        <v>0.03</v>
      </c>
    </row>
    <row r="12" spans="1:6" x14ac:dyDescent="0.25">
      <c r="A12" t="s">
        <v>64</v>
      </c>
      <c r="B12">
        <f>Discount_Rate!B20</f>
        <v>0.10038461538461536</v>
      </c>
    </row>
    <row r="13" spans="1:6" x14ac:dyDescent="0.25">
      <c r="A13" t="s">
        <v>73</v>
      </c>
      <c r="B13">
        <f>B10/(B12-B11)</f>
        <v>44395758.24009563</v>
      </c>
    </row>
    <row r="14" spans="1:6" x14ac:dyDescent="0.25">
      <c r="A14" t="s">
        <v>74</v>
      </c>
      <c r="B14">
        <f>B13*F6</f>
        <v>27518130.670444585</v>
      </c>
    </row>
    <row r="16" spans="1:6" x14ac:dyDescent="0.25">
      <c r="A16" t="s">
        <v>75</v>
      </c>
    </row>
    <row r="17" spans="1:2" x14ac:dyDescent="0.25">
      <c r="A17" t="s">
        <v>76</v>
      </c>
      <c r="B17">
        <f>SUM(B7:F7)</f>
        <v>7834922.0078784544</v>
      </c>
    </row>
    <row r="18" spans="1:2" x14ac:dyDescent="0.25">
      <c r="A18" t="s">
        <v>77</v>
      </c>
      <c r="B18">
        <f>B14</f>
        <v>27518130.670444585</v>
      </c>
    </row>
    <row r="19" spans="1:2" x14ac:dyDescent="0.25">
      <c r="A19" t="s">
        <v>78</v>
      </c>
      <c r="B19">
        <f>B17+B18</f>
        <v>35353052.678323038</v>
      </c>
    </row>
    <row r="20" spans="1:2" x14ac:dyDescent="0.25">
      <c r="A20" t="s">
        <v>79</v>
      </c>
      <c r="B20">
        <f>1000000</f>
        <v>1000000</v>
      </c>
    </row>
    <row r="21" spans="1:2" x14ac:dyDescent="0.25">
      <c r="A21" t="s">
        <v>80</v>
      </c>
      <c r="B21">
        <f>5000000</f>
        <v>5000000</v>
      </c>
    </row>
    <row r="22" spans="1:2" x14ac:dyDescent="0.25">
      <c r="A22" t="s">
        <v>81</v>
      </c>
      <c r="B22">
        <f>B19+B20-B21</f>
        <v>31353052.678323038</v>
      </c>
    </row>
    <row r="23" spans="1:2" x14ac:dyDescent="0.25">
      <c r="A23" t="s">
        <v>82</v>
      </c>
      <c r="B23">
        <f>1000000</f>
        <v>1000000</v>
      </c>
    </row>
    <row r="24" spans="1:2" x14ac:dyDescent="0.25">
      <c r="A24" t="s">
        <v>83</v>
      </c>
      <c r="B24">
        <f>B22/B23</f>
        <v>31.353052678323039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6E13D-AA22-4F83-8802-207E0AE3F153}">
  <dimension ref="A1:F24"/>
  <sheetViews>
    <sheetView workbookViewId="0">
      <selection activeCell="G13" sqref="G13"/>
    </sheetView>
  </sheetViews>
  <sheetFormatPr defaultRowHeight="15" x14ac:dyDescent="0.25"/>
  <sheetData>
    <row r="1" spans="1:2" x14ac:dyDescent="0.25">
      <c r="A1" t="s">
        <v>51</v>
      </c>
    </row>
    <row r="3" spans="1:2" x14ac:dyDescent="0.25">
      <c r="A3" t="s">
        <v>52</v>
      </c>
    </row>
    <row r="4" spans="1:2" x14ac:dyDescent="0.25">
      <c r="A4" t="s">
        <v>53</v>
      </c>
      <c r="B4" s="2">
        <f>Input_Assumptions!B27</f>
        <v>4.4999999999999998E-2</v>
      </c>
    </row>
    <row r="5" spans="1:2" x14ac:dyDescent="0.25">
      <c r="A5" t="s">
        <v>54</v>
      </c>
      <c r="B5" s="2">
        <f>Input_Assumptions!B28</f>
        <v>0.06</v>
      </c>
    </row>
    <row r="6" spans="1:2" x14ac:dyDescent="0.25">
      <c r="A6" t="s">
        <v>24</v>
      </c>
      <c r="B6">
        <f>Input_Assumptions!B29</f>
        <v>1.2</v>
      </c>
    </row>
    <row r="7" spans="1:2" x14ac:dyDescent="0.25">
      <c r="A7" t="s">
        <v>55</v>
      </c>
      <c r="B7">
        <f>B4+B6*B5</f>
        <v>0.11699999999999999</v>
      </c>
    </row>
    <row r="9" spans="1:2" x14ac:dyDescent="0.25">
      <c r="A9" t="s">
        <v>56</v>
      </c>
    </row>
    <row r="10" spans="1:2" x14ac:dyDescent="0.25">
      <c r="A10" t="s">
        <v>57</v>
      </c>
      <c r="B10" s="2">
        <f>Input_Assumptions!B30</f>
        <v>0.06</v>
      </c>
    </row>
    <row r="11" spans="1:2" x14ac:dyDescent="0.25">
      <c r="A11" t="s">
        <v>58</v>
      </c>
      <c r="B11" s="1">
        <f>Input_Assumptions!B20</f>
        <v>0.25</v>
      </c>
    </row>
    <row r="12" spans="1:2" x14ac:dyDescent="0.25">
      <c r="A12" t="s">
        <v>59</v>
      </c>
      <c r="B12">
        <f>B10*(1-B11)</f>
        <v>4.4999999999999998E-2</v>
      </c>
    </row>
    <row r="14" spans="1:2" x14ac:dyDescent="0.25">
      <c r="A14" t="s">
        <v>60</v>
      </c>
    </row>
    <row r="15" spans="1:2" x14ac:dyDescent="0.25">
      <c r="A15" t="s">
        <v>26</v>
      </c>
      <c r="B15">
        <f>Input_Assumptions!B31</f>
        <v>0.3</v>
      </c>
    </row>
    <row r="16" spans="1:2" x14ac:dyDescent="0.25">
      <c r="A16" t="s">
        <v>61</v>
      </c>
      <c r="B16">
        <f>B15/(1+B15)</f>
        <v>0.23076923076923075</v>
      </c>
    </row>
    <row r="17" spans="1:6" x14ac:dyDescent="0.25">
      <c r="A17" t="s">
        <v>62</v>
      </c>
      <c r="B17">
        <f>1/(1+B15)</f>
        <v>0.76923076923076916</v>
      </c>
    </row>
    <row r="19" spans="1:6" x14ac:dyDescent="0.25">
      <c r="A19" t="s">
        <v>63</v>
      </c>
    </row>
    <row r="20" spans="1:6" x14ac:dyDescent="0.25">
      <c r="A20" t="s">
        <v>64</v>
      </c>
      <c r="B20">
        <f>B17*B7+B16*B12</f>
        <v>0.10038461538461536</v>
      </c>
    </row>
    <row r="22" spans="1:6" x14ac:dyDescent="0.25">
      <c r="A22" t="s">
        <v>65</v>
      </c>
    </row>
    <row r="23" spans="1:6" x14ac:dyDescent="0.25">
      <c r="A23" t="s">
        <v>30</v>
      </c>
      <c r="B23">
        <v>1</v>
      </c>
      <c r="C23">
        <v>2</v>
      </c>
      <c r="D23">
        <v>3</v>
      </c>
      <c r="E23">
        <v>4</v>
      </c>
      <c r="F23">
        <v>5</v>
      </c>
    </row>
    <row r="24" spans="1:6" x14ac:dyDescent="0.25">
      <c r="A24" t="s">
        <v>66</v>
      </c>
      <c r="B24">
        <f>1/(1+B20)^B23</f>
        <v>0.90877315623907728</v>
      </c>
      <c r="C24">
        <f>1/(1+B20)^C23</f>
        <v>0.82586864950073446</v>
      </c>
      <c r="D24">
        <f>1/(1+B20)^D23</f>
        <v>0.75052725924568675</v>
      </c>
      <c r="E24">
        <f>1/(1+B20)^E23</f>
        <v>0.68205902622816705</v>
      </c>
      <c r="F24">
        <f>1/(1+B20)^F23</f>
        <v>0.61983693400672302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568C-0F92-4AC2-8BF2-33F24E35B98B}">
  <dimension ref="A1:F12"/>
  <sheetViews>
    <sheetView workbookViewId="0">
      <selection sqref="A1:F12"/>
    </sheetView>
  </sheetViews>
  <sheetFormatPr defaultRowHeight="15" x14ac:dyDescent="0.25"/>
  <sheetData>
    <row r="1" spans="1:6" x14ac:dyDescent="0.25">
      <c r="A1" t="s">
        <v>44</v>
      </c>
    </row>
    <row r="3" spans="1:6" x14ac:dyDescent="0.25">
      <c r="A3" t="s">
        <v>30</v>
      </c>
      <c r="B3">
        <v>2024</v>
      </c>
      <c r="C3">
        <v>2025</v>
      </c>
      <c r="D3">
        <v>2026</v>
      </c>
      <c r="E3">
        <v>2027</v>
      </c>
      <c r="F3">
        <v>2028</v>
      </c>
    </row>
    <row r="5" spans="1:6" x14ac:dyDescent="0.25">
      <c r="A5" t="s">
        <v>45</v>
      </c>
      <c r="B5">
        <f>Expenses!B10</f>
        <v>2505000</v>
      </c>
      <c r="C5">
        <f>Expenses!C10</f>
        <v>2880750</v>
      </c>
      <c r="D5">
        <f>Expenses!D10</f>
        <v>3312862.4999999986</v>
      </c>
      <c r="E5">
        <f>Expenses!E10</f>
        <v>3809791.8749999981</v>
      </c>
      <c r="F5">
        <f>Expenses!F10</f>
        <v>4381260.6562499981</v>
      </c>
    </row>
    <row r="6" spans="1:6" x14ac:dyDescent="0.25">
      <c r="A6" t="s">
        <v>46</v>
      </c>
      <c r="B6">
        <f>Expenses!B6</f>
        <v>160000</v>
      </c>
      <c r="C6">
        <f>Expenses!C6</f>
        <v>184000</v>
      </c>
      <c r="D6">
        <f>Expenses!D6</f>
        <v>211599.99999999997</v>
      </c>
      <c r="E6">
        <f>Expenses!E6</f>
        <v>243339.99999999997</v>
      </c>
      <c r="F6">
        <f>Expenses!F6</f>
        <v>279840.99999999994</v>
      </c>
    </row>
    <row r="7" spans="1:6" x14ac:dyDescent="0.25">
      <c r="A7" t="s">
        <v>47</v>
      </c>
      <c r="B7">
        <f>Expenses!B8</f>
        <v>800000</v>
      </c>
      <c r="C7">
        <f>Expenses!C8</f>
        <v>920000</v>
      </c>
      <c r="D7">
        <f>Expenses!D8</f>
        <v>1057999.9999999998</v>
      </c>
      <c r="E7">
        <f>Expenses!E8</f>
        <v>1216699.9999999998</v>
      </c>
      <c r="F7">
        <f>Expenses!F8</f>
        <v>1399204.9999999995</v>
      </c>
    </row>
    <row r="8" spans="1:6" x14ac:dyDescent="0.25">
      <c r="A8" t="s">
        <v>48</v>
      </c>
      <c r="B8">
        <f>Revenue_Projections!B5*Input_Assumptions!B24</f>
        <v>1000000</v>
      </c>
      <c r="C8">
        <f>(Revenue_Projections!C5-Revenue_Projections!B5)*Input_Assumptions!B24</f>
        <v>150000</v>
      </c>
      <c r="D8">
        <f>(Revenue_Projections!D5-Revenue_Projections!C5)*Input_Assumptions!B24</f>
        <v>172499.99999999983</v>
      </c>
      <c r="E8">
        <f>(Revenue_Projections!E5-Revenue_Projections!D5)*Input_Assumptions!B24</f>
        <v>198374.99999999983</v>
      </c>
      <c r="F8">
        <f>(Revenue_Projections!F5-Revenue_Projections!E5)*Input_Assumptions!B24</f>
        <v>228131.24999999965</v>
      </c>
    </row>
    <row r="10" spans="1:6" x14ac:dyDescent="0.25">
      <c r="A10" t="s">
        <v>49</v>
      </c>
      <c r="B10">
        <f>B5+B6-B7-B8</f>
        <v>865000</v>
      </c>
      <c r="C10">
        <f>C5+C6-C7-C8</f>
        <v>1994750</v>
      </c>
      <c r="D10">
        <f>D5+D6-D7-D8</f>
        <v>2293962.4999999991</v>
      </c>
      <c r="E10">
        <f>E5+E6-E7-E8</f>
        <v>2638056.8749999981</v>
      </c>
      <c r="F10">
        <f>F5+F6-F7-F8</f>
        <v>3033765.4062499991</v>
      </c>
    </row>
    <row r="12" spans="1:6" x14ac:dyDescent="0.25">
      <c r="A12" t="s">
        <v>50</v>
      </c>
      <c r="B12">
        <f>B10</f>
        <v>865000</v>
      </c>
      <c r="C12">
        <f>B12+C10</f>
        <v>2859750</v>
      </c>
      <c r="D12">
        <f>C12+D10</f>
        <v>5153712.4999999991</v>
      </c>
      <c r="E12">
        <f>D12+E10</f>
        <v>7791769.3749999972</v>
      </c>
      <c r="F12">
        <f>E12+F10</f>
        <v>10825534.781249996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84AB2-6EA2-4F5F-BC73-B71A51374E15}">
  <dimension ref="A1:F10"/>
  <sheetViews>
    <sheetView workbookViewId="0">
      <selection sqref="A1:F10"/>
    </sheetView>
  </sheetViews>
  <sheetFormatPr defaultRowHeight="15" x14ac:dyDescent="0.25"/>
  <sheetData>
    <row r="1" spans="1:6" x14ac:dyDescent="0.25">
      <c r="A1" t="s">
        <v>37</v>
      </c>
    </row>
    <row r="3" spans="1:6" x14ac:dyDescent="0.25">
      <c r="A3" t="s">
        <v>30</v>
      </c>
      <c r="B3">
        <v>2024</v>
      </c>
      <c r="C3">
        <v>2025</v>
      </c>
      <c r="D3">
        <v>2026</v>
      </c>
      <c r="E3">
        <v>2027</v>
      </c>
      <c r="F3">
        <v>2028</v>
      </c>
    </row>
    <row r="5" spans="1:6" x14ac:dyDescent="0.25">
      <c r="A5" t="s">
        <v>38</v>
      </c>
      <c r="B5">
        <f>Revenue_Projections!B5*Input_Assumptions!B18</f>
        <v>2500000</v>
      </c>
      <c r="C5">
        <f>Revenue_Projections!C5*Input_Assumptions!B18</f>
        <v>2875000</v>
      </c>
      <c r="D5">
        <f>Revenue_Projections!D5*Input_Assumptions!B18</f>
        <v>3306249.9999999995</v>
      </c>
      <c r="E5">
        <f>Revenue_Projections!E5*Input_Assumptions!B18</f>
        <v>3802187.4999999991</v>
      </c>
      <c r="F5">
        <f>Revenue_Projections!F5*Input_Assumptions!B18</f>
        <v>4372515.6249999981</v>
      </c>
    </row>
    <row r="6" spans="1:6" x14ac:dyDescent="0.25">
      <c r="A6" t="s">
        <v>39</v>
      </c>
      <c r="B6">
        <f>Input_Assumptions!B19*B8</f>
        <v>160000</v>
      </c>
      <c r="C6">
        <f>Input_Assumptions!B19*C8</f>
        <v>184000</v>
      </c>
      <c r="D6">
        <f>Input_Assumptions!B19*D8</f>
        <v>211599.99999999997</v>
      </c>
      <c r="E6">
        <f>Input_Assumptions!B19*E8</f>
        <v>243339.99999999997</v>
      </c>
      <c r="F6">
        <f>Input_Assumptions!B19*F8</f>
        <v>279840.99999999994</v>
      </c>
    </row>
    <row r="7" spans="1:6" x14ac:dyDescent="0.25">
      <c r="A7" t="s">
        <v>40</v>
      </c>
      <c r="B7">
        <f>Revenue_Projections!B9-B5-B6</f>
        <v>3340000</v>
      </c>
      <c r="C7">
        <f>Revenue_Projections!C9-C5-C6</f>
        <v>3841000</v>
      </c>
      <c r="D7">
        <f>Revenue_Projections!D9-D5-D6</f>
        <v>4417149.9999999981</v>
      </c>
      <c r="E7">
        <f>Revenue_Projections!E9-E5-E6</f>
        <v>5079722.4999999972</v>
      </c>
      <c r="F7">
        <f>Revenue_Projections!F9-F5-F6</f>
        <v>5841680.8749999981</v>
      </c>
    </row>
    <row r="8" spans="1:6" x14ac:dyDescent="0.25">
      <c r="A8" t="s">
        <v>41</v>
      </c>
      <c r="B8">
        <f>Revenue_Projections!B5*Input_Assumptions!B23</f>
        <v>800000</v>
      </c>
      <c r="C8">
        <f>Revenue_Projections!C5*Input_Assumptions!B23</f>
        <v>920000</v>
      </c>
      <c r="D8">
        <f>Revenue_Projections!D5*Input_Assumptions!B23</f>
        <v>1057999.9999999998</v>
      </c>
      <c r="E8">
        <f>Revenue_Projections!E5*Input_Assumptions!B23</f>
        <v>1216699.9999999998</v>
      </c>
      <c r="F8">
        <f>Revenue_Projections!F5*Input_Assumptions!B23</f>
        <v>1399204.9999999995</v>
      </c>
    </row>
    <row r="9" spans="1:6" x14ac:dyDescent="0.25">
      <c r="A9" t="s">
        <v>42</v>
      </c>
      <c r="B9">
        <f>B7*Input_Assumptions!B20</f>
        <v>835000</v>
      </c>
      <c r="C9">
        <f>C7*Input_Assumptions!B20</f>
        <v>960250</v>
      </c>
      <c r="D9">
        <f>D7*Input_Assumptions!B20</f>
        <v>1104287.4999999995</v>
      </c>
      <c r="E9">
        <f>E7*Input_Assumptions!B20</f>
        <v>1269930.6249999993</v>
      </c>
      <c r="F9">
        <f>F7*Input_Assumptions!B20</f>
        <v>1460420.2187499995</v>
      </c>
    </row>
    <row r="10" spans="1:6" x14ac:dyDescent="0.25">
      <c r="A10" t="s">
        <v>43</v>
      </c>
      <c r="B10">
        <f>B7-B9</f>
        <v>2505000</v>
      </c>
      <c r="C10">
        <f>C7-C9</f>
        <v>2880750</v>
      </c>
      <c r="D10">
        <f>D7-D9</f>
        <v>3312862.4999999986</v>
      </c>
      <c r="E10">
        <f>E7-E9</f>
        <v>3809791.8749999981</v>
      </c>
      <c r="F10">
        <f>F7-F9</f>
        <v>4381260.6562499981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73CFB-2F76-4DBD-9220-BCA74398CDD7}">
  <dimension ref="A1:F10"/>
  <sheetViews>
    <sheetView workbookViewId="0">
      <selection activeCell="G13" sqref="G13"/>
    </sheetView>
  </sheetViews>
  <sheetFormatPr defaultRowHeight="15" x14ac:dyDescent="0.25"/>
  <sheetData>
    <row r="1" spans="1:6" x14ac:dyDescent="0.25">
      <c r="A1" t="s">
        <v>29</v>
      </c>
    </row>
    <row r="3" spans="1:6" x14ac:dyDescent="0.25">
      <c r="A3" t="s">
        <v>30</v>
      </c>
      <c r="B3">
        <v>2024</v>
      </c>
      <c r="C3">
        <v>2025</v>
      </c>
      <c r="D3">
        <v>2026</v>
      </c>
      <c r="E3">
        <v>2027</v>
      </c>
      <c r="F3">
        <v>2028</v>
      </c>
    </row>
    <row r="5" spans="1:6" x14ac:dyDescent="0.25">
      <c r="A5" t="s">
        <v>31</v>
      </c>
      <c r="B5">
        <f>Input_Assumptions!B12</f>
        <v>10000000</v>
      </c>
      <c r="C5">
        <f>B5*(1+Input_Assumptions!B13)</f>
        <v>11500000</v>
      </c>
      <c r="D5">
        <f>C5*(1+Input_Assumptions!B13)</f>
        <v>13224999.999999998</v>
      </c>
      <c r="E5">
        <f>D5*(1+Input_Assumptions!B13)</f>
        <v>15208749.999999996</v>
      </c>
      <c r="F5">
        <f>E5*(1+Input_Assumptions!B13)</f>
        <v>17490062.499999993</v>
      </c>
    </row>
    <row r="6" spans="1:6" x14ac:dyDescent="0.25">
      <c r="A6" t="s">
        <v>32</v>
      </c>
      <c r="B6" t="s">
        <v>33</v>
      </c>
      <c r="C6" s="1">
        <f>Input_Assumptions!B13</f>
        <v>0.15</v>
      </c>
      <c r="D6" s="1">
        <f>Input_Assumptions!B13</f>
        <v>0.15</v>
      </c>
      <c r="E6" s="1">
        <f>Input_Assumptions!B13</f>
        <v>0.15</v>
      </c>
      <c r="F6" s="1">
        <f>Input_Assumptions!B13</f>
        <v>0.15</v>
      </c>
    </row>
    <row r="8" spans="1:6" x14ac:dyDescent="0.25">
      <c r="A8" t="s">
        <v>34</v>
      </c>
      <c r="B8">
        <f>B5*Input_Assumptions!B17</f>
        <v>4000000</v>
      </c>
      <c r="C8">
        <f>C5*Input_Assumptions!B17</f>
        <v>4600000</v>
      </c>
      <c r="D8">
        <f>D5*Input_Assumptions!B17</f>
        <v>5290000</v>
      </c>
      <c r="E8">
        <f>E5*Input_Assumptions!B17</f>
        <v>6083499.9999999991</v>
      </c>
      <c r="F8">
        <f>F5*Input_Assumptions!B17</f>
        <v>6996024.9999999972</v>
      </c>
    </row>
    <row r="9" spans="1:6" x14ac:dyDescent="0.25">
      <c r="A9" t="s">
        <v>35</v>
      </c>
      <c r="B9">
        <f>B5-B8</f>
        <v>6000000</v>
      </c>
      <c r="C9">
        <f>C5-C8</f>
        <v>6900000</v>
      </c>
      <c r="D9">
        <f>D5-D8</f>
        <v>7934999.9999999981</v>
      </c>
      <c r="E9">
        <f>E5-E8</f>
        <v>9125249.9999999963</v>
      </c>
      <c r="F9">
        <f>F5-F8</f>
        <v>10494037.499999996</v>
      </c>
    </row>
    <row r="10" spans="1:6" x14ac:dyDescent="0.25">
      <c r="A10" t="s">
        <v>36</v>
      </c>
      <c r="B10">
        <f>B9/B5</f>
        <v>0.6</v>
      </c>
      <c r="C10">
        <f>C9/C5</f>
        <v>0.6</v>
      </c>
      <c r="D10">
        <f>D9/D5</f>
        <v>0.6</v>
      </c>
      <c r="E10">
        <f>E9/E5</f>
        <v>0.59999999999999987</v>
      </c>
      <c r="F10">
        <f>F9/F5</f>
        <v>0.60000000000000009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EA6C-B5AC-4862-BAAE-AE02F685EFC6}">
  <dimension ref="A1:B35"/>
  <sheetViews>
    <sheetView tabSelected="1" topLeftCell="A24" workbookViewId="0">
      <selection activeCell="B35" sqref="B35"/>
    </sheetView>
  </sheetViews>
  <sheetFormatPr defaultRowHeight="15" x14ac:dyDescent="0.25"/>
  <cols>
    <col min="1" max="1" width="30.7109375" customWidth="1"/>
    <col min="2" max="2" width="15.7109375" customWidth="1"/>
  </cols>
  <sheetData>
    <row r="1" spans="1:2" ht="21" x14ac:dyDescent="0.35">
      <c r="A1" s="4" t="s">
        <v>0</v>
      </c>
    </row>
    <row r="2" spans="1:2" x14ac:dyDescent="0.25">
      <c r="A2" s="3"/>
    </row>
    <row r="3" spans="1:2" x14ac:dyDescent="0.25">
      <c r="A3" s="6" t="s">
        <v>1</v>
      </c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>
        <v>2024</v>
      </c>
    </row>
    <row r="7" spans="1:2" x14ac:dyDescent="0.25">
      <c r="A7" s="3"/>
    </row>
    <row r="8" spans="1:2" x14ac:dyDescent="0.25">
      <c r="A8" s="6" t="s">
        <v>7</v>
      </c>
    </row>
    <row r="9" spans="1:2" x14ac:dyDescent="0.25">
      <c r="A9" s="3" t="s">
        <v>8</v>
      </c>
      <c r="B9">
        <v>5</v>
      </c>
    </row>
    <row r="10" spans="1:2" x14ac:dyDescent="0.25">
      <c r="A10" s="3"/>
    </row>
    <row r="11" spans="1:2" x14ac:dyDescent="0.25">
      <c r="A11" s="6" t="s">
        <v>9</v>
      </c>
    </row>
    <row r="12" spans="1:2" x14ac:dyDescent="0.25">
      <c r="A12" s="3" t="s">
        <v>10</v>
      </c>
      <c r="B12" s="7">
        <v>10000000</v>
      </c>
    </row>
    <row r="13" spans="1:2" x14ac:dyDescent="0.25">
      <c r="A13" s="3" t="s">
        <v>11</v>
      </c>
      <c r="B13" s="2">
        <v>0.15</v>
      </c>
    </row>
    <row r="14" spans="1:2" x14ac:dyDescent="0.25">
      <c r="A14" s="3" t="s">
        <v>12</v>
      </c>
      <c r="B14" s="2">
        <v>0.03</v>
      </c>
    </row>
    <row r="15" spans="1:2" x14ac:dyDescent="0.25">
      <c r="A15" s="3"/>
    </row>
    <row r="16" spans="1:2" x14ac:dyDescent="0.25">
      <c r="A16" s="6" t="s">
        <v>13</v>
      </c>
    </row>
    <row r="17" spans="1:2" x14ac:dyDescent="0.25">
      <c r="A17" s="3" t="s">
        <v>14</v>
      </c>
      <c r="B17" s="2">
        <v>0.4</v>
      </c>
    </row>
    <row r="18" spans="1:2" x14ac:dyDescent="0.25">
      <c r="A18" s="3" t="s">
        <v>15</v>
      </c>
      <c r="B18" s="2">
        <v>0.25</v>
      </c>
    </row>
    <row r="19" spans="1:2" x14ac:dyDescent="0.25">
      <c r="A19" s="3" t="s">
        <v>16</v>
      </c>
      <c r="B19" s="2">
        <v>0.2</v>
      </c>
    </row>
    <row r="20" spans="1:2" x14ac:dyDescent="0.25">
      <c r="A20" s="3" t="s">
        <v>17</v>
      </c>
      <c r="B20" s="2">
        <v>0.25</v>
      </c>
    </row>
    <row r="21" spans="1:2" x14ac:dyDescent="0.25">
      <c r="A21" s="3"/>
    </row>
    <row r="22" spans="1:2" x14ac:dyDescent="0.25">
      <c r="A22" s="6" t="s">
        <v>18</v>
      </c>
    </row>
    <row r="23" spans="1:2" x14ac:dyDescent="0.25">
      <c r="A23" s="3" t="s">
        <v>19</v>
      </c>
      <c r="B23" s="2">
        <v>0.08</v>
      </c>
    </row>
    <row r="24" spans="1:2" x14ac:dyDescent="0.25">
      <c r="A24" s="3" t="s">
        <v>20</v>
      </c>
      <c r="B24" s="2">
        <v>0.1</v>
      </c>
    </row>
    <row r="25" spans="1:2" x14ac:dyDescent="0.25">
      <c r="A25" s="3"/>
    </row>
    <row r="26" spans="1:2" x14ac:dyDescent="0.25">
      <c r="A26" s="6" t="s">
        <v>21</v>
      </c>
    </row>
    <row r="27" spans="1:2" x14ac:dyDescent="0.25">
      <c r="A27" s="3" t="s">
        <v>22</v>
      </c>
      <c r="B27" s="2">
        <v>4.4999999999999998E-2</v>
      </c>
    </row>
    <row r="28" spans="1:2" x14ac:dyDescent="0.25">
      <c r="A28" s="3" t="s">
        <v>23</v>
      </c>
      <c r="B28" s="2">
        <v>0.06</v>
      </c>
    </row>
    <row r="29" spans="1:2" x14ac:dyDescent="0.25">
      <c r="A29" s="3" t="s">
        <v>24</v>
      </c>
      <c r="B29" s="8">
        <v>1.2</v>
      </c>
    </row>
    <row r="30" spans="1:2" x14ac:dyDescent="0.25">
      <c r="A30" s="3" t="s">
        <v>25</v>
      </c>
      <c r="B30" s="2">
        <v>0.06</v>
      </c>
    </row>
    <row r="31" spans="1:2" x14ac:dyDescent="0.25">
      <c r="A31" s="3" t="s">
        <v>26</v>
      </c>
      <c r="B31" s="8">
        <v>0.3</v>
      </c>
    </row>
    <row r="32" spans="1:2" x14ac:dyDescent="0.25">
      <c r="A32" s="3"/>
    </row>
    <row r="33" spans="1:2" x14ac:dyDescent="0.25">
      <c r="A33" s="6" t="s">
        <v>27</v>
      </c>
    </row>
    <row r="34" spans="1:2" x14ac:dyDescent="0.25">
      <c r="A34" s="3" t="s">
        <v>12</v>
      </c>
      <c r="B34" s="2">
        <v>0.03</v>
      </c>
    </row>
    <row r="35" spans="1:2" x14ac:dyDescent="0.25">
      <c r="A35" s="3" t="s">
        <v>28</v>
      </c>
      <c r="B35" s="8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F5DF-A912-4E0F-BFC3-990F86781F14}">
  <dimension ref="A1:B30"/>
  <sheetViews>
    <sheetView workbookViewId="0">
      <selection activeCell="D12" sqref="D12"/>
    </sheetView>
  </sheetViews>
  <sheetFormatPr defaultRowHeight="15" x14ac:dyDescent="0.25"/>
  <cols>
    <col min="1" max="1" width="35.7109375" customWidth="1"/>
    <col min="2" max="2" width="20.7109375" customWidth="1"/>
  </cols>
  <sheetData>
    <row r="1" spans="1:2" ht="21" x14ac:dyDescent="0.35">
      <c r="A1" s="4" t="s">
        <v>93</v>
      </c>
    </row>
    <row r="2" spans="1:2" x14ac:dyDescent="0.25">
      <c r="A2" s="3"/>
    </row>
    <row r="3" spans="1:2" ht="18.75" x14ac:dyDescent="0.3">
      <c r="A3" s="5" t="s">
        <v>94</v>
      </c>
    </row>
    <row r="4" spans="1:2" x14ac:dyDescent="0.25">
      <c r="A4" s="3" t="s">
        <v>95</v>
      </c>
      <c r="B4" t="s">
        <v>96</v>
      </c>
    </row>
    <row r="5" spans="1:2" x14ac:dyDescent="0.25">
      <c r="A5" s="3" t="s">
        <v>97</v>
      </c>
      <c r="B5" t="s">
        <v>96</v>
      </c>
    </row>
    <row r="6" spans="1:2" x14ac:dyDescent="0.25">
      <c r="A6" s="3" t="s">
        <v>98</v>
      </c>
      <c r="B6" t="s">
        <v>96</v>
      </c>
    </row>
    <row r="7" spans="1:2" x14ac:dyDescent="0.25">
      <c r="A7" s="3"/>
    </row>
    <row r="8" spans="1:2" ht="18.75" x14ac:dyDescent="0.3">
      <c r="A8" s="5" t="s">
        <v>99</v>
      </c>
    </row>
    <row r="9" spans="1:2" x14ac:dyDescent="0.25">
      <c r="A9" s="3" t="s">
        <v>100</v>
      </c>
      <c r="B9" t="s">
        <v>101</v>
      </c>
    </row>
    <row r="10" spans="1:2" x14ac:dyDescent="0.25">
      <c r="A10" s="3" t="s">
        <v>102</v>
      </c>
      <c r="B10" t="s">
        <v>101</v>
      </c>
    </row>
    <row r="11" spans="1:2" x14ac:dyDescent="0.25">
      <c r="A11" s="3" t="s">
        <v>72</v>
      </c>
      <c r="B11" t="s">
        <v>101</v>
      </c>
    </row>
    <row r="12" spans="1:2" x14ac:dyDescent="0.25">
      <c r="A12" s="3" t="s">
        <v>64</v>
      </c>
      <c r="B12" t="s">
        <v>103</v>
      </c>
    </row>
    <row r="13" spans="1:2" x14ac:dyDescent="0.25">
      <c r="A13" s="3"/>
    </row>
    <row r="14" spans="1:2" ht="18.75" x14ac:dyDescent="0.3">
      <c r="A14" s="5" t="s">
        <v>104</v>
      </c>
    </row>
    <row r="15" spans="1:2" x14ac:dyDescent="0.25">
      <c r="A15" s="3" t="s">
        <v>105</v>
      </c>
    </row>
    <row r="16" spans="1:2" x14ac:dyDescent="0.25">
      <c r="A16" s="3" t="s">
        <v>106</v>
      </c>
    </row>
    <row r="17" spans="1:1" x14ac:dyDescent="0.25">
      <c r="A17" s="3" t="s">
        <v>107</v>
      </c>
    </row>
    <row r="18" spans="1:1" x14ac:dyDescent="0.25">
      <c r="A18" s="3" t="s">
        <v>108</v>
      </c>
    </row>
    <row r="19" spans="1:1" x14ac:dyDescent="0.25">
      <c r="A19" s="3" t="s">
        <v>109</v>
      </c>
    </row>
    <row r="20" spans="1:1" x14ac:dyDescent="0.25">
      <c r="A20" s="3" t="s">
        <v>110</v>
      </c>
    </row>
    <row r="21" spans="1:1" x14ac:dyDescent="0.25">
      <c r="A21" s="3" t="s">
        <v>111</v>
      </c>
    </row>
    <row r="22" spans="1:1" x14ac:dyDescent="0.25">
      <c r="A22" s="3"/>
    </row>
    <row r="23" spans="1:1" ht="18.75" x14ac:dyDescent="0.3">
      <c r="A23" s="5" t="s">
        <v>112</v>
      </c>
    </row>
    <row r="24" spans="1:1" x14ac:dyDescent="0.25">
      <c r="A24" s="3" t="s">
        <v>113</v>
      </c>
    </row>
    <row r="25" spans="1:1" x14ac:dyDescent="0.25">
      <c r="A25" s="3" t="s">
        <v>114</v>
      </c>
    </row>
    <row r="26" spans="1:1" x14ac:dyDescent="0.25">
      <c r="A26" s="3" t="s">
        <v>115</v>
      </c>
    </row>
    <row r="27" spans="1:1" x14ac:dyDescent="0.25">
      <c r="A27" s="3" t="s">
        <v>116</v>
      </c>
    </row>
    <row r="28" spans="1:1" x14ac:dyDescent="0.25">
      <c r="A28" s="3"/>
    </row>
    <row r="29" spans="1:1" x14ac:dyDescent="0.25">
      <c r="A29" s="3" t="s">
        <v>117</v>
      </c>
    </row>
    <row r="30" spans="1:1" x14ac:dyDescent="0.25">
      <c r="A30" s="3" t="s">
        <v>118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Sensitivity</vt:lpstr>
      <vt:lpstr>Valuation</vt:lpstr>
      <vt:lpstr>Discount_Rate</vt:lpstr>
      <vt:lpstr>FCF_Calculation</vt:lpstr>
      <vt:lpstr>Expenses</vt:lpstr>
      <vt:lpstr>Revenue_Projections</vt:lpstr>
      <vt:lpstr>Input_Assumptions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2026-01-18T07:10:34Z</dcterms:created>
  <dcterms:modified xsi:type="dcterms:W3CDTF">2026-01-18T07:17:24Z</dcterms:modified>
</cp:coreProperties>
</file>